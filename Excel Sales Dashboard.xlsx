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5N4\"/>
    </mc:Choice>
  </mc:AlternateContent>
  <xr:revisionPtr revIDLastSave="0" documentId="8_{C739AE1C-45F4-4801-A766-C0F9AB2EA2F8}" xr6:coauthVersionLast="47" xr6:coauthVersionMax="47" xr10:uidLastSave="{00000000-0000-0000-0000-000000000000}"/>
  <bookViews>
    <workbookView xWindow="-108" yWindow="-108" windowWidth="23256" windowHeight="12456" xr2:uid="{00000000-000D-0000-FFFF-FFFF00000000}"/>
  </bookViews>
  <sheets>
    <sheet name="pivot Table" sheetId="3" r:id="rId1"/>
    <sheet name="Dashboard" sheetId="4" r:id="rId2"/>
    <sheet name="sales order" sheetId="2" r:id="rId3"/>
  </sheets>
  <definedNames>
    <definedName name="Slicer_Country">#N/A</definedName>
    <definedName name="Slicer_Product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3" l="1"/>
  <c r="R11" i="3"/>
  <c r="R12" i="3"/>
  <c r="R13" i="3"/>
  <c r="R14" i="3"/>
  <c r="R15" i="3"/>
  <c r="R16" i="3"/>
  <c r="R17" i="3"/>
  <c r="R18" i="3"/>
  <c r="R19" i="3"/>
  <c r="R20" i="3"/>
  <c r="R9" i="3"/>
  <c r="Q10" i="3"/>
  <c r="Q11" i="3"/>
  <c r="Q12" i="3"/>
  <c r="Q13" i="3"/>
  <c r="Q14" i="3"/>
  <c r="Q15" i="3"/>
  <c r="Q16" i="3"/>
  <c r="Q17" i="3"/>
  <c r="Q18" i="3"/>
  <c r="Q19" i="3"/>
  <c r="Q20" i="3"/>
  <c r="Q9" i="3"/>
  <c r="E22" i="2"/>
  <c r="E23" i="2"/>
  <c r="E24" i="2"/>
  <c r="E25" i="2"/>
  <c r="E26" i="2"/>
  <c r="E27" i="2"/>
  <c r="E28" i="2"/>
  <c r="E29" i="2"/>
  <c r="E30" i="2"/>
  <c r="E31" i="2"/>
  <c r="E13" i="2"/>
  <c r="E14" i="2"/>
  <c r="E15" i="2"/>
  <c r="E16" i="2"/>
  <c r="E17" i="2"/>
  <c r="E18" i="2"/>
  <c r="E19" i="2"/>
  <c r="E20" i="2"/>
  <c r="E21" i="2"/>
  <c r="E3" i="2"/>
  <c r="E4" i="2"/>
  <c r="E5" i="2"/>
  <c r="E6" i="2"/>
  <c r="E7" i="2"/>
  <c r="E8" i="2"/>
  <c r="E9" i="2"/>
  <c r="E10" i="2"/>
  <c r="E11" i="2"/>
  <c r="E12"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2" i="2"/>
  <c r="C9" i="2"/>
  <c r="C10" i="2"/>
  <c r="C11" i="2"/>
  <c r="C12" i="2"/>
  <c r="C13" i="2"/>
  <c r="C14" i="2"/>
  <c r="C15" i="2"/>
  <c r="C16" i="2"/>
  <c r="C17" i="2"/>
  <c r="C18" i="2"/>
  <c r="C19" i="2"/>
  <c r="C20" i="2"/>
  <c r="C21" i="2"/>
  <c r="C22" i="2"/>
  <c r="C23" i="2"/>
  <c r="C24" i="2"/>
  <c r="C25" i="2"/>
  <c r="C26" i="2"/>
  <c r="C27" i="2"/>
  <c r="C28" i="2"/>
  <c r="C29" i="2"/>
  <c r="C30" i="2"/>
  <c r="C31" i="2"/>
  <c r="C3" i="2"/>
  <c r="C4" i="2"/>
  <c r="C5" i="2"/>
  <c r="C6" i="2"/>
  <c r="C7" i="2"/>
  <c r="C8" i="2"/>
  <c r="C2" i="2"/>
</calcChain>
</file>

<file path=xl/sharedStrings.xml><?xml version="1.0" encoding="utf-8"?>
<sst xmlns="http://schemas.openxmlformats.org/spreadsheetml/2006/main" count="257" uniqueCount="77">
  <si>
    <t>ID</t>
  </si>
  <si>
    <t>Order Date</t>
  </si>
  <si>
    <t>Region</t>
  </si>
  <si>
    <t>Country</t>
  </si>
  <si>
    <t>Sales Channel</t>
  </si>
  <si>
    <t>Customer Type</t>
  </si>
  <si>
    <t>Product Category</t>
  </si>
  <si>
    <t>Product</t>
  </si>
  <si>
    <t>Units Sold</t>
  </si>
  <si>
    <t>Unit Price</t>
  </si>
  <si>
    <t>Discount</t>
  </si>
  <si>
    <t>Unit Cost</t>
  </si>
  <si>
    <t>Revenue</t>
  </si>
  <si>
    <t>COGS</t>
  </si>
  <si>
    <t>Gross Profit</t>
  </si>
  <si>
    <t>Europe</t>
  </si>
  <si>
    <t>France</t>
  </si>
  <si>
    <t>Online</t>
  </si>
  <si>
    <t>New</t>
  </si>
  <si>
    <t>Electronics</t>
  </si>
  <si>
    <t>Returning</t>
  </si>
  <si>
    <t>Asia</t>
  </si>
  <si>
    <t>Japan</t>
  </si>
  <si>
    <t>Keyboard</t>
  </si>
  <si>
    <t>North America</t>
  </si>
  <si>
    <t>South America</t>
  </si>
  <si>
    <t>Brazil</t>
  </si>
  <si>
    <t>Africa</t>
  </si>
  <si>
    <t>South Africa</t>
  </si>
  <si>
    <t>Headphones</t>
  </si>
  <si>
    <t>Oceania</t>
  </si>
  <si>
    <t>Australia</t>
  </si>
  <si>
    <t>Germany</t>
  </si>
  <si>
    <t>Gross Margin</t>
  </si>
  <si>
    <t>United States</t>
  </si>
  <si>
    <t>Wireless Mouse</t>
  </si>
  <si>
    <t>Canada</t>
  </si>
  <si>
    <t>Retail</t>
  </si>
  <si>
    <t>Corporate</t>
  </si>
  <si>
    <t>Furniture</t>
  </si>
  <si>
    <t>Office Chair</t>
  </si>
  <si>
    <t>Distributor</t>
  </si>
  <si>
    <t>Office Supplies</t>
  </si>
  <si>
    <t>Desk Organizer</t>
  </si>
  <si>
    <t>Webcam</t>
  </si>
  <si>
    <t>India</t>
  </si>
  <si>
    <t>Notebook Pack</t>
  </si>
  <si>
    <t>Accessories</t>
  </si>
  <si>
    <t>USB-C Hub</t>
  </si>
  <si>
    <t>Laptop Bag</t>
  </si>
  <si>
    <t>Singapore</t>
  </si>
  <si>
    <t>Study Desk</t>
  </si>
  <si>
    <t>year</t>
  </si>
  <si>
    <t xml:space="preserve"> month no</t>
  </si>
  <si>
    <t>Sum of Revenue</t>
  </si>
  <si>
    <t>Sum of Gross Profit</t>
  </si>
  <si>
    <t>Sum of Unit Cost</t>
  </si>
  <si>
    <t>Count of ID</t>
  </si>
  <si>
    <t>Sum of COGS</t>
  </si>
  <si>
    <t>month</t>
  </si>
  <si>
    <t>Row Labels</t>
  </si>
  <si>
    <t>Jan</t>
  </si>
  <si>
    <t>Feb</t>
  </si>
  <si>
    <t>Grand Total</t>
  </si>
  <si>
    <t>May</t>
  </si>
  <si>
    <t>Jun</t>
  </si>
  <si>
    <t>Aug</t>
  </si>
  <si>
    <t>Nov</t>
  </si>
  <si>
    <t>Oct</t>
  </si>
  <si>
    <t>Sep</t>
  </si>
  <si>
    <t>Jul</t>
  </si>
  <si>
    <t>Apr</t>
  </si>
  <si>
    <t>Mar</t>
  </si>
  <si>
    <t>Dec</t>
  </si>
  <si>
    <t>Total Revenue</t>
  </si>
  <si>
    <t>Total Gross Profit</t>
  </si>
  <si>
    <t>Over all Gross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</si>
</sst>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1">
    <xf numFmtId="0" fontId="0" fillId="0" borderId="0" xfId="0"/>
    <xf numFmtId="9"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9" fontId="0" fillId="0" borderId="0" xfId="0" applyNumberFormat="1" applyAlignment="1">
      <alignment horizontal="center" vertical="center"/>
    </xf>
    <xf numFmtId="0" fontId="1" fillId="0" borderId="0" xfId="0" applyFont="1"/>
    <xf numFmtId="10" fontId="0" fillId="0" borderId="0" xfId="0" applyNumberFormat="1"/>
  </cellXfs>
  <cellStyles count="1">
    <cellStyle name="Normal" xfId="0" builtinId="0"/>
  </cellStyles>
  <dxfs count="21">
    <dxf>
      <numFmt numFmtId="13"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F800]dddd\,\ mmmm\ dd\,\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Table!Monthly,profit,revenue</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30772180874658E-2"/>
          <c:y val="0.12442184310294546"/>
          <c:w val="0.90744076510984073"/>
          <c:h val="0.76817876932050155"/>
        </c:manualLayout>
      </c:layout>
      <c:lineChart>
        <c:grouping val="stacked"/>
        <c:varyColors val="0"/>
        <c:ser>
          <c:idx val="0"/>
          <c:order val="0"/>
          <c:tx>
            <c:strRef>
              <c:f>'pivot Table'!$B$9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Table'!$B$10:$B$22</c:f>
              <c:numCache>
                <c:formatCode>General</c:formatCode>
                <c:ptCount val="12"/>
                <c:pt idx="0">
                  <c:v>10238.5</c:v>
                </c:pt>
                <c:pt idx="1">
                  <c:v>3112</c:v>
                </c:pt>
                <c:pt idx="2">
                  <c:v>75</c:v>
                </c:pt>
                <c:pt idx="3">
                  <c:v>663</c:v>
                </c:pt>
                <c:pt idx="4">
                  <c:v>100</c:v>
                </c:pt>
                <c:pt idx="5">
                  <c:v>2057</c:v>
                </c:pt>
                <c:pt idx="6">
                  <c:v>180</c:v>
                </c:pt>
                <c:pt idx="7">
                  <c:v>364.5</c:v>
                </c:pt>
                <c:pt idx="8">
                  <c:v>67.5</c:v>
                </c:pt>
                <c:pt idx="9">
                  <c:v>741</c:v>
                </c:pt>
                <c:pt idx="10">
                  <c:v>200</c:v>
                </c:pt>
                <c:pt idx="11">
                  <c:v>472.5</c:v>
                </c:pt>
              </c:numCache>
            </c:numRef>
          </c:val>
          <c:smooth val="0"/>
          <c:extLst>
            <c:ext xmlns:c16="http://schemas.microsoft.com/office/drawing/2014/chart" uri="{C3380CC4-5D6E-409C-BE32-E72D297353CC}">
              <c16:uniqueId val="{00000000-1499-4C05-8DBA-31B1DE107000}"/>
            </c:ext>
          </c:extLst>
        </c:ser>
        <c:ser>
          <c:idx val="1"/>
          <c:order val="1"/>
          <c:tx>
            <c:strRef>
              <c:f>'pivot Table'!$C$9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Table'!$C$10:$C$22</c:f>
              <c:numCache>
                <c:formatCode>General</c:formatCode>
                <c:ptCount val="12"/>
                <c:pt idx="0">
                  <c:v>3936</c:v>
                </c:pt>
                <c:pt idx="1">
                  <c:v>1122</c:v>
                </c:pt>
                <c:pt idx="2">
                  <c:v>42.5</c:v>
                </c:pt>
                <c:pt idx="3">
                  <c:v>255</c:v>
                </c:pt>
                <c:pt idx="4">
                  <c:v>52</c:v>
                </c:pt>
                <c:pt idx="5">
                  <c:v>517</c:v>
                </c:pt>
                <c:pt idx="6">
                  <c:v>100</c:v>
                </c:pt>
                <c:pt idx="7">
                  <c:v>166.5</c:v>
                </c:pt>
                <c:pt idx="8">
                  <c:v>35</c:v>
                </c:pt>
                <c:pt idx="9">
                  <c:v>333</c:v>
                </c:pt>
                <c:pt idx="10">
                  <c:v>120</c:v>
                </c:pt>
                <c:pt idx="11">
                  <c:v>217.5</c:v>
                </c:pt>
              </c:numCache>
            </c:numRef>
          </c:val>
          <c:smooth val="0"/>
          <c:extLst>
            <c:ext xmlns:c16="http://schemas.microsoft.com/office/drawing/2014/chart" uri="{C3380CC4-5D6E-409C-BE32-E72D297353CC}">
              <c16:uniqueId val="{00000001-1499-4C05-8DBA-31B1DE107000}"/>
            </c:ext>
          </c:extLst>
        </c:ser>
        <c:dLbls>
          <c:showLegendKey val="0"/>
          <c:showVal val="0"/>
          <c:showCatName val="0"/>
          <c:showSerName val="0"/>
          <c:showPercent val="0"/>
          <c:showBubbleSize val="0"/>
        </c:dLbls>
        <c:marker val="1"/>
        <c:smooth val="0"/>
        <c:axId val="150267695"/>
        <c:axId val="150275855"/>
      </c:lineChart>
      <c:catAx>
        <c:axId val="15026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5855"/>
        <c:crosses val="autoZero"/>
        <c:auto val="1"/>
        <c:lblAlgn val="ctr"/>
        <c:lblOffset val="100"/>
        <c:noMultiLvlLbl val="0"/>
      </c:catAx>
      <c:valAx>
        <c:axId val="150275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7695"/>
        <c:crosses val="autoZero"/>
        <c:crossBetween val="between"/>
      </c:valAx>
      <c:spPr>
        <a:noFill/>
        <a:ln>
          <a:noFill/>
        </a:ln>
        <a:effectLst/>
      </c:spPr>
    </c:plotArea>
    <c:legend>
      <c:legendPos val="t"/>
      <c:layout>
        <c:manualLayout>
          <c:xMode val="edge"/>
          <c:yMode val="edge"/>
          <c:x val="0.28999913110176301"/>
          <c:y val="0.17129629629629628"/>
          <c:w val="0.37433948752981222"/>
          <c:h val="9.66440653251676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Table!Top 5 country</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0.16531780402449694"/>
          <c:y val="0.18518518518518517"/>
          <c:w val="0.77879330708661421"/>
          <c:h val="0.70741542723826178"/>
        </c:manualLayout>
      </c:layout>
      <c:barChart>
        <c:barDir val="bar"/>
        <c:grouping val="clustered"/>
        <c:varyColors val="0"/>
        <c:ser>
          <c:idx val="0"/>
          <c:order val="0"/>
          <c:tx>
            <c:strRef>
              <c:f>'pivot Table'!$F$9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Table'!$E$10:$E$15</c:f>
              <c:strCache>
                <c:ptCount val="5"/>
                <c:pt idx="0">
                  <c:v>Brazil</c:v>
                </c:pt>
                <c:pt idx="1">
                  <c:v>Canada</c:v>
                </c:pt>
                <c:pt idx="2">
                  <c:v>France</c:v>
                </c:pt>
                <c:pt idx="3">
                  <c:v>Singapore</c:v>
                </c:pt>
                <c:pt idx="4">
                  <c:v>South Africa</c:v>
                </c:pt>
              </c:strCache>
            </c:strRef>
          </c:cat>
          <c:val>
            <c:numRef>
              <c:f>'pivot Table'!$F$10:$F$15</c:f>
              <c:numCache>
                <c:formatCode>General</c:formatCode>
                <c:ptCount val="5"/>
                <c:pt idx="0">
                  <c:v>1470</c:v>
                </c:pt>
                <c:pt idx="1">
                  <c:v>3465</c:v>
                </c:pt>
                <c:pt idx="2">
                  <c:v>2067</c:v>
                </c:pt>
                <c:pt idx="3">
                  <c:v>6655</c:v>
                </c:pt>
                <c:pt idx="4">
                  <c:v>1272</c:v>
                </c:pt>
              </c:numCache>
            </c:numRef>
          </c:val>
          <c:extLst>
            <c:ext xmlns:c16="http://schemas.microsoft.com/office/drawing/2014/chart" uri="{C3380CC4-5D6E-409C-BE32-E72D297353CC}">
              <c16:uniqueId val="{00000000-9ACE-4EDD-A3D2-DBDAFA01EC1D}"/>
            </c:ext>
          </c:extLst>
        </c:ser>
        <c:dLbls>
          <c:showLegendKey val="0"/>
          <c:showVal val="0"/>
          <c:showCatName val="0"/>
          <c:showSerName val="0"/>
          <c:showPercent val="0"/>
          <c:showBubbleSize val="0"/>
        </c:dLbls>
        <c:gapWidth val="182"/>
        <c:axId val="45314927"/>
        <c:axId val="45315887"/>
      </c:barChart>
      <c:catAx>
        <c:axId val="4531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5887"/>
        <c:crosses val="autoZero"/>
        <c:auto val="1"/>
        <c:lblAlgn val="ctr"/>
        <c:lblOffset val="100"/>
        <c:noMultiLvlLbl val="0"/>
      </c:catAx>
      <c:valAx>
        <c:axId val="45315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Table!Sales channel</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6.1585835257890686E-2"/>
          <c:y val="0.23658866585338809"/>
          <c:w val="0.61282997823886343"/>
          <c:h val="0.74747994528852912"/>
        </c:manualLayout>
      </c:layout>
      <c:pieChart>
        <c:varyColors val="1"/>
        <c:ser>
          <c:idx val="0"/>
          <c:order val="0"/>
          <c:tx>
            <c:strRef>
              <c:f>'pivot Table'!$I$9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3A-4890-8233-620699B76C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3A-4890-8233-620699B76C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3A-4890-8233-620699B76C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0"/>
            <c:extLst>
              <c:ext xmlns:c15="http://schemas.microsoft.com/office/drawing/2012/chart" uri="{CE6537A1-D6FC-4f65-9D91-7224C49458BB}"/>
            </c:extLst>
          </c:dLbls>
          <c:cat>
            <c:strRef>
              <c:f>'pivot Table'!$H$10:$H$13</c:f>
              <c:strCache>
                <c:ptCount val="3"/>
                <c:pt idx="0">
                  <c:v>Distributor</c:v>
                </c:pt>
                <c:pt idx="1">
                  <c:v>Online</c:v>
                </c:pt>
                <c:pt idx="2">
                  <c:v>Retail</c:v>
                </c:pt>
              </c:strCache>
            </c:strRef>
          </c:cat>
          <c:val>
            <c:numRef>
              <c:f>'pivot Table'!$I$10:$I$13</c:f>
              <c:numCache>
                <c:formatCode>General</c:formatCode>
                <c:ptCount val="3"/>
                <c:pt idx="0">
                  <c:v>6094</c:v>
                </c:pt>
                <c:pt idx="1">
                  <c:v>6119</c:v>
                </c:pt>
                <c:pt idx="2">
                  <c:v>6058</c:v>
                </c:pt>
              </c:numCache>
            </c:numRef>
          </c:val>
          <c:extLst>
            <c:ext xmlns:c16="http://schemas.microsoft.com/office/drawing/2014/chart" uri="{C3380CC4-5D6E-409C-BE32-E72D297353CC}">
              <c16:uniqueId val="{00000006-C43A-4890-8233-620699B76C1E}"/>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Table!Regionwise</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4.9986220472440945E-2"/>
                  <c:h val="7.7436541362562228E-2"/>
                </c:manualLayout>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0D-4BE6-8BB5-1560D89976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0D-4BE6-8BB5-1560D89976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0D-4BE6-8BB5-1560D89976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0D-4BE6-8BB5-1560D89976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00D-4BE6-8BB5-1560D899766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00D-4BE6-8BB5-1560D899766E}"/>
              </c:ext>
            </c:extLst>
          </c:dPt>
          <c:dLbls>
            <c:dLbl>
              <c:idx val="0"/>
              <c:showLegendKey val="0"/>
              <c:showVal val="0"/>
              <c:showCatName val="0"/>
              <c:showSerName val="0"/>
              <c:showPercent val="1"/>
              <c:showBubbleSize val="0"/>
              <c:extLst>
                <c:ext xmlns:c15="http://schemas.microsoft.com/office/drawing/2012/chart" uri="{CE6537A1-D6FC-4f65-9D91-7224C49458BB}">
                  <c15:layout>
                    <c:manualLayout>
                      <c:w val="4.9986220472440945E-2"/>
                      <c:h val="7.7436541362562228E-2"/>
                    </c:manualLayout>
                  </c15:layout>
                </c:ext>
                <c:ext xmlns:c16="http://schemas.microsoft.com/office/drawing/2014/chart" uri="{C3380CC4-5D6E-409C-BE32-E72D297353CC}">
                  <c16:uniqueId val="{00000001-A00D-4BE6-8BB5-1560D89976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Table'!$K$10:$K$16</c:f>
              <c:strCache>
                <c:ptCount val="6"/>
                <c:pt idx="0">
                  <c:v>Africa</c:v>
                </c:pt>
                <c:pt idx="1">
                  <c:v>Asia</c:v>
                </c:pt>
                <c:pt idx="2">
                  <c:v>Europe</c:v>
                </c:pt>
                <c:pt idx="3">
                  <c:v>North America</c:v>
                </c:pt>
                <c:pt idx="4">
                  <c:v>Oceania</c:v>
                </c:pt>
                <c:pt idx="5">
                  <c:v>South America</c:v>
                </c:pt>
              </c:strCache>
            </c:strRef>
          </c:cat>
          <c:val>
            <c:numRef>
              <c:f>'pivot Table'!$L$10:$L$16</c:f>
              <c:numCache>
                <c:formatCode>General</c:formatCode>
                <c:ptCount val="6"/>
                <c:pt idx="0">
                  <c:v>1272</c:v>
                </c:pt>
                <c:pt idx="1">
                  <c:v>7972.5</c:v>
                </c:pt>
                <c:pt idx="2">
                  <c:v>2627</c:v>
                </c:pt>
                <c:pt idx="3">
                  <c:v>3755</c:v>
                </c:pt>
                <c:pt idx="4">
                  <c:v>1174.5</c:v>
                </c:pt>
                <c:pt idx="5">
                  <c:v>1470</c:v>
                </c:pt>
              </c:numCache>
            </c:numRef>
          </c:val>
          <c:extLst>
            <c:ext xmlns:c16="http://schemas.microsoft.com/office/drawing/2014/chart" uri="{C3380CC4-5D6E-409C-BE32-E72D297353CC}">
              <c16:uniqueId val="{0000000C-A00D-4BE6-8BB5-1560D899766E}"/>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t"/>
      <c:layout>
        <c:manualLayout>
          <c:xMode val="edge"/>
          <c:yMode val="edge"/>
          <c:x val="0.05"/>
          <c:y val="0.13211382113821138"/>
          <c:w val="0.9"/>
          <c:h val="8.57475513731515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Table!country wise chart</c:name>
    <c:fmtId val="1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914260717410323E-2"/>
          <c:y val="0.19960079840319361"/>
          <c:w val="0.87753018372703417"/>
          <c:h val="0.52672214625866376"/>
        </c:manualLayout>
      </c:layout>
      <c:bar3DChart>
        <c:barDir val="col"/>
        <c:grouping val="clustered"/>
        <c:varyColors val="0"/>
        <c:ser>
          <c:idx val="0"/>
          <c:order val="0"/>
          <c:tx>
            <c:strRef>
              <c:f>'pivot Table'!$O$9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Table'!$N$10:$N$20</c:f>
              <c:strCache>
                <c:ptCount val="10"/>
                <c:pt idx="0">
                  <c:v>Australia</c:v>
                </c:pt>
                <c:pt idx="1">
                  <c:v>Brazil</c:v>
                </c:pt>
                <c:pt idx="2">
                  <c:v>Canada</c:v>
                </c:pt>
                <c:pt idx="3">
                  <c:v>France</c:v>
                </c:pt>
                <c:pt idx="4">
                  <c:v>Germany</c:v>
                </c:pt>
                <c:pt idx="5">
                  <c:v>India</c:v>
                </c:pt>
                <c:pt idx="6">
                  <c:v>Japan</c:v>
                </c:pt>
                <c:pt idx="7">
                  <c:v>Singapore</c:v>
                </c:pt>
                <c:pt idx="8">
                  <c:v>South Africa</c:v>
                </c:pt>
                <c:pt idx="9">
                  <c:v>United States</c:v>
                </c:pt>
              </c:strCache>
            </c:strRef>
          </c:cat>
          <c:val>
            <c:numRef>
              <c:f>'pivot Table'!$O$10:$O$20</c:f>
              <c:numCache>
                <c:formatCode>General</c:formatCode>
                <c:ptCount val="10"/>
                <c:pt idx="0">
                  <c:v>1174.5</c:v>
                </c:pt>
                <c:pt idx="1">
                  <c:v>1470</c:v>
                </c:pt>
                <c:pt idx="2">
                  <c:v>3465</c:v>
                </c:pt>
                <c:pt idx="3">
                  <c:v>2067</c:v>
                </c:pt>
                <c:pt idx="4">
                  <c:v>560</c:v>
                </c:pt>
                <c:pt idx="5">
                  <c:v>217.5</c:v>
                </c:pt>
                <c:pt idx="6">
                  <c:v>1100</c:v>
                </c:pt>
                <c:pt idx="7">
                  <c:v>6655</c:v>
                </c:pt>
                <c:pt idx="8">
                  <c:v>1272</c:v>
                </c:pt>
                <c:pt idx="9">
                  <c:v>290</c:v>
                </c:pt>
              </c:numCache>
            </c:numRef>
          </c:val>
          <c:extLst>
            <c:ext xmlns:c16="http://schemas.microsoft.com/office/drawing/2014/chart" uri="{C3380CC4-5D6E-409C-BE32-E72D297353CC}">
              <c16:uniqueId val="{00000000-2700-402B-A022-107C25FC2F3B}"/>
            </c:ext>
          </c:extLst>
        </c:ser>
        <c:dLbls>
          <c:showLegendKey val="0"/>
          <c:showVal val="1"/>
          <c:showCatName val="0"/>
          <c:showSerName val="0"/>
          <c:showPercent val="0"/>
          <c:showBubbleSize val="0"/>
        </c:dLbls>
        <c:gapWidth val="150"/>
        <c:shape val="box"/>
        <c:axId val="724781088"/>
        <c:axId val="724783968"/>
        <c:axId val="0"/>
      </c:bar3DChart>
      <c:catAx>
        <c:axId val="724781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83968"/>
        <c:crosses val="autoZero"/>
        <c:auto val="1"/>
        <c:lblAlgn val="ctr"/>
        <c:lblOffset val="100"/>
        <c:noMultiLvlLbl val="0"/>
      </c:catAx>
      <c:valAx>
        <c:axId val="7247839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pivot Table'!A1"/><Relationship Id="rId1" Type="http://schemas.openxmlformats.org/officeDocument/2006/relationships/hyperlink" Target="#'sales order'!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510540</xdr:colOff>
      <xdr:row>0</xdr:row>
      <xdr:rowOff>53340</xdr:rowOff>
    </xdr:from>
    <xdr:to>
      <xdr:col>18</xdr:col>
      <xdr:colOff>457200</xdr:colOff>
      <xdr:row>3</xdr:row>
      <xdr:rowOff>15240</xdr:rowOff>
    </xdr:to>
    <xdr:sp macro="" textlink="">
      <xdr:nvSpPr>
        <xdr:cNvPr id="2" name="Rectangle: Rounded Corners 1">
          <a:extLst>
            <a:ext uri="{FF2B5EF4-FFF2-40B4-BE49-F238E27FC236}">
              <a16:creationId xmlns:a16="http://schemas.microsoft.com/office/drawing/2014/main" id="{8005BC3B-6848-617A-F0F0-9BA848DCEAF9}"/>
            </a:ext>
          </a:extLst>
        </xdr:cNvPr>
        <xdr:cNvSpPr/>
      </xdr:nvSpPr>
      <xdr:spPr>
        <a:xfrm>
          <a:off x="510540" y="53340"/>
          <a:ext cx="10919460" cy="510540"/>
        </a:xfrm>
        <a:prstGeom prst="roundRect">
          <a:avLst>
            <a:gd name="adj" fmla="val 25417"/>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304800</xdr:colOff>
      <xdr:row>1</xdr:row>
      <xdr:rowOff>22860</xdr:rowOff>
    </xdr:from>
    <xdr:to>
      <xdr:col>6</xdr:col>
      <xdr:colOff>320040</xdr:colOff>
      <xdr:row>2</xdr:row>
      <xdr:rowOff>53340</xdr:rowOff>
    </xdr:to>
    <xdr:sp macro="" textlink="">
      <xdr:nvSpPr>
        <xdr:cNvPr id="3" name="TextBox 2">
          <a:extLst>
            <a:ext uri="{FF2B5EF4-FFF2-40B4-BE49-F238E27FC236}">
              <a16:creationId xmlns:a16="http://schemas.microsoft.com/office/drawing/2014/main" id="{192F5565-415E-4AFE-4C79-DB7E8D65E1B2}"/>
            </a:ext>
          </a:extLst>
        </xdr:cNvPr>
        <xdr:cNvSpPr txBox="1"/>
      </xdr:nvSpPr>
      <xdr:spPr>
        <a:xfrm>
          <a:off x="914400" y="205740"/>
          <a:ext cx="306324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Executive Summary &amp;</a:t>
          </a:r>
          <a:r>
            <a:rPr lang="en-IN" sz="1200" baseline="0"/>
            <a:t> Profitability Dashboard</a:t>
          </a:r>
          <a:endParaRPr lang="en-IN" sz="1200"/>
        </a:p>
      </xdr:txBody>
    </xdr:sp>
    <xdr:clientData/>
  </xdr:twoCellAnchor>
  <xdr:twoCellAnchor>
    <xdr:from>
      <xdr:col>1</xdr:col>
      <xdr:colOff>53340</xdr:colOff>
      <xdr:row>3</xdr:row>
      <xdr:rowOff>53340</xdr:rowOff>
    </xdr:from>
    <xdr:to>
      <xdr:col>3</xdr:col>
      <xdr:colOff>266700</xdr:colOff>
      <xdr:row>6</xdr:row>
      <xdr:rowOff>114300</xdr:rowOff>
    </xdr:to>
    <xdr:grpSp>
      <xdr:nvGrpSpPr>
        <xdr:cNvPr id="8" name="Group 7">
          <a:extLst>
            <a:ext uri="{FF2B5EF4-FFF2-40B4-BE49-F238E27FC236}">
              <a16:creationId xmlns:a16="http://schemas.microsoft.com/office/drawing/2014/main" id="{2B75C878-376B-BC4A-7C67-22B32B021C78}"/>
            </a:ext>
          </a:extLst>
        </xdr:cNvPr>
        <xdr:cNvGrpSpPr/>
      </xdr:nvGrpSpPr>
      <xdr:grpSpPr>
        <a:xfrm>
          <a:off x="662940" y="601980"/>
          <a:ext cx="1432560" cy="609600"/>
          <a:chOff x="662940" y="601980"/>
          <a:chExt cx="1432560" cy="609600"/>
        </a:xfrm>
      </xdr:grpSpPr>
      <xdr:sp macro="" textlink="">
        <xdr:nvSpPr>
          <xdr:cNvPr id="4" name="Rectangle: Rounded Corners 3">
            <a:extLst>
              <a:ext uri="{FF2B5EF4-FFF2-40B4-BE49-F238E27FC236}">
                <a16:creationId xmlns:a16="http://schemas.microsoft.com/office/drawing/2014/main" id="{3825F415-BD92-469F-84EE-FC3A2EE8CC52}"/>
              </a:ext>
            </a:extLst>
          </xdr:cNvPr>
          <xdr:cNvSpPr/>
        </xdr:nvSpPr>
        <xdr:spPr>
          <a:xfrm>
            <a:off x="662940" y="601980"/>
            <a:ext cx="1432560" cy="609600"/>
          </a:xfrm>
          <a:prstGeom prst="roundRect">
            <a:avLst>
              <a:gd name="adj" fmla="val 25417"/>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239E6BC7-A2E7-4E29-9B0E-2C9885B1F99A}"/>
              </a:ext>
            </a:extLst>
          </xdr:cNvPr>
          <xdr:cNvSpPr txBox="1"/>
        </xdr:nvSpPr>
        <xdr:spPr>
          <a:xfrm>
            <a:off x="800100" y="693420"/>
            <a:ext cx="11811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a:t>
            </a:r>
            <a:r>
              <a:rPr lang="en-IN" sz="1200" b="1" baseline="0"/>
              <a:t> Revenue</a:t>
            </a:r>
            <a:endParaRPr lang="en-IN" sz="1200" b="1"/>
          </a:p>
        </xdr:txBody>
      </xdr:sp>
      <xdr:sp macro="" textlink="'pivot Table'!A4">
        <xdr:nvSpPr>
          <xdr:cNvPr id="6" name="TextBox 5">
            <a:extLst>
              <a:ext uri="{FF2B5EF4-FFF2-40B4-BE49-F238E27FC236}">
                <a16:creationId xmlns:a16="http://schemas.microsoft.com/office/drawing/2014/main" id="{806B89D0-71B1-4081-B9D8-1EFCA4C3971C}"/>
              </a:ext>
            </a:extLst>
          </xdr:cNvPr>
          <xdr:cNvSpPr txBox="1"/>
        </xdr:nvSpPr>
        <xdr:spPr>
          <a:xfrm>
            <a:off x="777240" y="914400"/>
            <a:ext cx="11811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F268A9-47CB-418B-BEFC-9A94335B0738}" type="TxLink">
              <a:rPr lang="en-US" sz="1100" b="0" i="0" u="none" strike="noStrike">
                <a:solidFill>
                  <a:schemeClr val="accent1"/>
                </a:solidFill>
                <a:latin typeface="Calibri"/>
                <a:ea typeface="Calibri"/>
                <a:cs typeface="Calibri"/>
              </a:rPr>
              <a:pPr marL="0" indent="0" algn="ctr"/>
              <a:t>18271</a:t>
            </a:fld>
            <a:endParaRPr lang="en-IN" sz="1100" b="0" i="0" u="none" strike="noStrike">
              <a:solidFill>
                <a:schemeClr val="accent1"/>
              </a:solidFill>
              <a:latin typeface="Calibri"/>
              <a:ea typeface="Calibri"/>
              <a:cs typeface="Calibri"/>
            </a:endParaRPr>
          </a:p>
        </xdr:txBody>
      </xdr:sp>
    </xdr:grpSp>
    <xdr:clientData/>
  </xdr:twoCellAnchor>
  <xdr:twoCellAnchor>
    <xdr:from>
      <xdr:col>3</xdr:col>
      <xdr:colOff>472440</xdr:colOff>
      <xdr:row>3</xdr:row>
      <xdr:rowOff>68580</xdr:rowOff>
    </xdr:from>
    <xdr:to>
      <xdr:col>6</xdr:col>
      <xdr:colOff>76200</xdr:colOff>
      <xdr:row>6</xdr:row>
      <xdr:rowOff>129540</xdr:rowOff>
    </xdr:to>
    <xdr:grpSp>
      <xdr:nvGrpSpPr>
        <xdr:cNvPr id="9" name="Group 8">
          <a:extLst>
            <a:ext uri="{FF2B5EF4-FFF2-40B4-BE49-F238E27FC236}">
              <a16:creationId xmlns:a16="http://schemas.microsoft.com/office/drawing/2014/main" id="{285AADF0-DE2E-49E4-91F1-81CA897AD86B}"/>
            </a:ext>
          </a:extLst>
        </xdr:cNvPr>
        <xdr:cNvGrpSpPr/>
      </xdr:nvGrpSpPr>
      <xdr:grpSpPr>
        <a:xfrm>
          <a:off x="2301240" y="617220"/>
          <a:ext cx="1432560" cy="609600"/>
          <a:chOff x="662940" y="601980"/>
          <a:chExt cx="1432560" cy="609600"/>
        </a:xfrm>
      </xdr:grpSpPr>
      <xdr:sp macro="" textlink="">
        <xdr:nvSpPr>
          <xdr:cNvPr id="10" name="Rectangle: Rounded Corners 9">
            <a:extLst>
              <a:ext uri="{FF2B5EF4-FFF2-40B4-BE49-F238E27FC236}">
                <a16:creationId xmlns:a16="http://schemas.microsoft.com/office/drawing/2014/main" id="{05FF0548-D294-4AD6-1F26-3104B4055F5B}"/>
              </a:ext>
            </a:extLst>
          </xdr:cNvPr>
          <xdr:cNvSpPr/>
        </xdr:nvSpPr>
        <xdr:spPr>
          <a:xfrm>
            <a:off x="662940" y="601980"/>
            <a:ext cx="1432560" cy="609600"/>
          </a:xfrm>
          <a:prstGeom prst="roundRect">
            <a:avLst>
              <a:gd name="adj" fmla="val 25417"/>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B95A6875-A95E-9652-17F1-A3FC482CD865}"/>
              </a:ext>
            </a:extLst>
          </xdr:cNvPr>
          <xdr:cNvSpPr txBox="1"/>
        </xdr:nvSpPr>
        <xdr:spPr>
          <a:xfrm>
            <a:off x="662940" y="693420"/>
            <a:ext cx="14325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a:t>
            </a:r>
            <a:r>
              <a:rPr lang="en-IN" sz="1200" b="1" baseline="0"/>
              <a:t> Gross profit</a:t>
            </a:r>
            <a:endParaRPr lang="en-IN" sz="1200" b="1"/>
          </a:p>
        </xdr:txBody>
      </xdr:sp>
      <xdr:sp macro="" textlink="'pivot Table'!C4">
        <xdr:nvSpPr>
          <xdr:cNvPr id="12" name="TextBox 11">
            <a:extLst>
              <a:ext uri="{FF2B5EF4-FFF2-40B4-BE49-F238E27FC236}">
                <a16:creationId xmlns:a16="http://schemas.microsoft.com/office/drawing/2014/main" id="{7D2276E5-C27D-1FFA-4BBF-EBC60B15453D}"/>
              </a:ext>
            </a:extLst>
          </xdr:cNvPr>
          <xdr:cNvSpPr txBox="1"/>
        </xdr:nvSpPr>
        <xdr:spPr>
          <a:xfrm>
            <a:off x="777240" y="914400"/>
            <a:ext cx="11811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2BB832-4BC4-4061-8CFA-CBA703871877}" type="TxLink">
              <a:rPr lang="en-US" sz="1100" b="0" i="0" u="none" strike="noStrike">
                <a:solidFill>
                  <a:schemeClr val="accent1"/>
                </a:solidFill>
                <a:latin typeface="Calibri"/>
                <a:ea typeface="Calibri"/>
                <a:cs typeface="Calibri"/>
              </a:rPr>
              <a:pPr marL="0" indent="0" algn="ctr"/>
              <a:t>6896.5</a:t>
            </a:fld>
            <a:endParaRPr lang="en-IN" sz="1100" b="0" i="0" u="none" strike="noStrike">
              <a:solidFill>
                <a:schemeClr val="accent1"/>
              </a:solidFill>
              <a:latin typeface="Calibri"/>
              <a:ea typeface="Calibri"/>
              <a:cs typeface="Calibri"/>
            </a:endParaRPr>
          </a:p>
        </xdr:txBody>
      </xdr:sp>
    </xdr:grpSp>
    <xdr:clientData/>
  </xdr:twoCellAnchor>
  <xdr:twoCellAnchor>
    <xdr:from>
      <xdr:col>6</xdr:col>
      <xdr:colOff>198120</xdr:colOff>
      <xdr:row>3</xdr:row>
      <xdr:rowOff>60960</xdr:rowOff>
    </xdr:from>
    <xdr:to>
      <xdr:col>8</xdr:col>
      <xdr:colOff>518160</xdr:colOff>
      <xdr:row>6</xdr:row>
      <xdr:rowOff>121920</xdr:rowOff>
    </xdr:to>
    <xdr:grpSp>
      <xdr:nvGrpSpPr>
        <xdr:cNvPr id="13" name="Group 12">
          <a:extLst>
            <a:ext uri="{FF2B5EF4-FFF2-40B4-BE49-F238E27FC236}">
              <a16:creationId xmlns:a16="http://schemas.microsoft.com/office/drawing/2014/main" id="{3631A1E8-8A68-4667-9D4F-925BD4FD0433}"/>
            </a:ext>
          </a:extLst>
        </xdr:cNvPr>
        <xdr:cNvGrpSpPr/>
      </xdr:nvGrpSpPr>
      <xdr:grpSpPr>
        <a:xfrm>
          <a:off x="3855720" y="609600"/>
          <a:ext cx="1539240" cy="609600"/>
          <a:chOff x="571500" y="601980"/>
          <a:chExt cx="1539240" cy="609600"/>
        </a:xfrm>
      </xdr:grpSpPr>
      <xdr:sp macro="" textlink="">
        <xdr:nvSpPr>
          <xdr:cNvPr id="14" name="Rectangle: Rounded Corners 13">
            <a:extLst>
              <a:ext uri="{FF2B5EF4-FFF2-40B4-BE49-F238E27FC236}">
                <a16:creationId xmlns:a16="http://schemas.microsoft.com/office/drawing/2014/main" id="{9ED5651D-8229-B362-75CB-F0DD2189B482}"/>
              </a:ext>
            </a:extLst>
          </xdr:cNvPr>
          <xdr:cNvSpPr/>
        </xdr:nvSpPr>
        <xdr:spPr>
          <a:xfrm>
            <a:off x="662940" y="601980"/>
            <a:ext cx="1432560" cy="609600"/>
          </a:xfrm>
          <a:prstGeom prst="roundRect">
            <a:avLst>
              <a:gd name="adj" fmla="val 25417"/>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E23FE85E-A992-3ECC-5AD7-C027EA970501}"/>
              </a:ext>
            </a:extLst>
          </xdr:cNvPr>
          <xdr:cNvSpPr txBox="1"/>
        </xdr:nvSpPr>
        <xdr:spPr>
          <a:xfrm>
            <a:off x="571500" y="693420"/>
            <a:ext cx="15392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i="0" u="none" strike="noStrike">
                <a:solidFill>
                  <a:sysClr val="windowText" lastClr="000000"/>
                </a:solidFill>
                <a:latin typeface="Calibri"/>
                <a:ea typeface="Calibri"/>
                <a:cs typeface="Calibri"/>
              </a:rPr>
              <a:t>Gross profit margin</a:t>
            </a:r>
          </a:p>
        </xdr:txBody>
      </xdr:sp>
      <xdr:sp macro="" textlink="'pivot Table'!E4">
        <xdr:nvSpPr>
          <xdr:cNvPr id="16" name="TextBox 15">
            <a:extLst>
              <a:ext uri="{FF2B5EF4-FFF2-40B4-BE49-F238E27FC236}">
                <a16:creationId xmlns:a16="http://schemas.microsoft.com/office/drawing/2014/main" id="{C3A981D7-6440-9ABA-FC23-F1DF0F4F1B4B}"/>
              </a:ext>
            </a:extLst>
          </xdr:cNvPr>
          <xdr:cNvSpPr txBox="1"/>
        </xdr:nvSpPr>
        <xdr:spPr>
          <a:xfrm>
            <a:off x="716280" y="929640"/>
            <a:ext cx="11811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4DA16D-A5DA-4DB8-A30B-BB5584E461C3}" type="TxLink">
              <a:rPr lang="en-US" sz="1100" b="0" i="0" u="none" strike="noStrike">
                <a:solidFill>
                  <a:schemeClr val="accent1"/>
                </a:solidFill>
                <a:latin typeface="Calibri"/>
                <a:ea typeface="Calibri"/>
                <a:cs typeface="Calibri"/>
              </a:rPr>
              <a:pPr marL="0" indent="0" algn="ctr"/>
              <a:t>37.75%</a:t>
            </a:fld>
            <a:endParaRPr lang="en-IN" sz="1100" b="0" i="0" u="none" strike="noStrike">
              <a:solidFill>
                <a:schemeClr val="accent1"/>
              </a:solidFill>
              <a:latin typeface="Calibri"/>
              <a:ea typeface="Calibri"/>
              <a:cs typeface="Calibri"/>
            </a:endParaRPr>
          </a:p>
        </xdr:txBody>
      </xdr:sp>
    </xdr:grpSp>
    <xdr:clientData/>
  </xdr:twoCellAnchor>
  <xdr:twoCellAnchor>
    <xdr:from>
      <xdr:col>9</xdr:col>
      <xdr:colOff>30480</xdr:colOff>
      <xdr:row>3</xdr:row>
      <xdr:rowOff>60960</xdr:rowOff>
    </xdr:from>
    <xdr:to>
      <xdr:col>11</xdr:col>
      <xdr:colOff>243840</xdr:colOff>
      <xdr:row>6</xdr:row>
      <xdr:rowOff>121920</xdr:rowOff>
    </xdr:to>
    <xdr:grpSp>
      <xdr:nvGrpSpPr>
        <xdr:cNvPr id="17" name="Group 16">
          <a:extLst>
            <a:ext uri="{FF2B5EF4-FFF2-40B4-BE49-F238E27FC236}">
              <a16:creationId xmlns:a16="http://schemas.microsoft.com/office/drawing/2014/main" id="{3B638AAC-DD62-47FA-B744-EC1E87DB9F7F}"/>
            </a:ext>
          </a:extLst>
        </xdr:cNvPr>
        <xdr:cNvGrpSpPr/>
      </xdr:nvGrpSpPr>
      <xdr:grpSpPr>
        <a:xfrm>
          <a:off x="5516880" y="609600"/>
          <a:ext cx="1432560" cy="609600"/>
          <a:chOff x="662940" y="601980"/>
          <a:chExt cx="1432560" cy="609600"/>
        </a:xfrm>
      </xdr:grpSpPr>
      <xdr:sp macro="" textlink="">
        <xdr:nvSpPr>
          <xdr:cNvPr id="18" name="Rectangle: Rounded Corners 17">
            <a:extLst>
              <a:ext uri="{FF2B5EF4-FFF2-40B4-BE49-F238E27FC236}">
                <a16:creationId xmlns:a16="http://schemas.microsoft.com/office/drawing/2014/main" id="{700DF2BB-206A-742C-6FDC-EC1D5A53BE89}"/>
              </a:ext>
            </a:extLst>
          </xdr:cNvPr>
          <xdr:cNvSpPr/>
        </xdr:nvSpPr>
        <xdr:spPr>
          <a:xfrm>
            <a:off x="662940" y="601980"/>
            <a:ext cx="1432560" cy="609600"/>
          </a:xfrm>
          <a:prstGeom prst="roundRect">
            <a:avLst>
              <a:gd name="adj" fmla="val 25417"/>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F859140D-2E5C-1132-21FC-3AD22C647FED}"/>
              </a:ext>
            </a:extLst>
          </xdr:cNvPr>
          <xdr:cNvSpPr txBox="1"/>
        </xdr:nvSpPr>
        <xdr:spPr>
          <a:xfrm>
            <a:off x="800100" y="693420"/>
            <a:ext cx="11811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a:t>
            </a:r>
            <a:r>
              <a:rPr lang="en-IN" sz="1200" b="1" baseline="0"/>
              <a:t> unit sold</a:t>
            </a:r>
            <a:endParaRPr lang="en-IN" sz="1200" b="1"/>
          </a:p>
        </xdr:txBody>
      </xdr:sp>
      <xdr:sp macro="" textlink="'pivot Table'!G4">
        <xdr:nvSpPr>
          <xdr:cNvPr id="20" name="TextBox 19">
            <a:extLst>
              <a:ext uri="{FF2B5EF4-FFF2-40B4-BE49-F238E27FC236}">
                <a16:creationId xmlns:a16="http://schemas.microsoft.com/office/drawing/2014/main" id="{96E3D6BA-4745-3678-8F6C-B05A7A6BAE6C}"/>
              </a:ext>
            </a:extLst>
          </xdr:cNvPr>
          <xdr:cNvSpPr txBox="1"/>
        </xdr:nvSpPr>
        <xdr:spPr>
          <a:xfrm>
            <a:off x="777240" y="914400"/>
            <a:ext cx="11811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82014A-0AF5-41D6-B643-D6A3848AF7E1}" type="TxLink">
              <a:rPr lang="en-US" sz="1100" b="0" i="0" u="none" strike="noStrike">
                <a:solidFill>
                  <a:schemeClr val="accent1"/>
                </a:solidFill>
                <a:latin typeface="Calibri"/>
                <a:ea typeface="Calibri"/>
                <a:cs typeface="Calibri"/>
              </a:rPr>
              <a:pPr marL="0" indent="0" algn="ctr"/>
              <a:t>1252.5</a:t>
            </a:fld>
            <a:endParaRPr lang="en-IN" sz="1100" b="0" i="0" u="none" strike="noStrike">
              <a:solidFill>
                <a:schemeClr val="accent1"/>
              </a:solidFill>
              <a:latin typeface="Calibri"/>
              <a:ea typeface="Calibri"/>
              <a:cs typeface="Calibri"/>
            </a:endParaRPr>
          </a:p>
        </xdr:txBody>
      </xdr:sp>
    </xdr:grpSp>
    <xdr:clientData/>
  </xdr:twoCellAnchor>
  <xdr:twoCellAnchor>
    <xdr:from>
      <xdr:col>11</xdr:col>
      <xdr:colOff>541020</xdr:colOff>
      <xdr:row>3</xdr:row>
      <xdr:rowOff>68580</xdr:rowOff>
    </xdr:from>
    <xdr:to>
      <xdr:col>14</xdr:col>
      <xdr:colOff>144780</xdr:colOff>
      <xdr:row>6</xdr:row>
      <xdr:rowOff>129540</xdr:rowOff>
    </xdr:to>
    <xdr:grpSp>
      <xdr:nvGrpSpPr>
        <xdr:cNvPr id="21" name="Group 20">
          <a:extLst>
            <a:ext uri="{FF2B5EF4-FFF2-40B4-BE49-F238E27FC236}">
              <a16:creationId xmlns:a16="http://schemas.microsoft.com/office/drawing/2014/main" id="{4CFD63C7-67FC-4A07-A7C3-4E6DC6C8B296}"/>
            </a:ext>
          </a:extLst>
        </xdr:cNvPr>
        <xdr:cNvGrpSpPr/>
      </xdr:nvGrpSpPr>
      <xdr:grpSpPr>
        <a:xfrm>
          <a:off x="7246620" y="617220"/>
          <a:ext cx="1432560" cy="609600"/>
          <a:chOff x="662940" y="601980"/>
          <a:chExt cx="1432560" cy="609600"/>
        </a:xfrm>
      </xdr:grpSpPr>
      <xdr:sp macro="" textlink="">
        <xdr:nvSpPr>
          <xdr:cNvPr id="22" name="Rectangle: Rounded Corners 21">
            <a:extLst>
              <a:ext uri="{FF2B5EF4-FFF2-40B4-BE49-F238E27FC236}">
                <a16:creationId xmlns:a16="http://schemas.microsoft.com/office/drawing/2014/main" id="{DA80A41D-B1D2-B9BB-CF27-6391BC3D67B6}"/>
              </a:ext>
            </a:extLst>
          </xdr:cNvPr>
          <xdr:cNvSpPr/>
        </xdr:nvSpPr>
        <xdr:spPr>
          <a:xfrm>
            <a:off x="662940" y="601980"/>
            <a:ext cx="1432560" cy="609600"/>
          </a:xfrm>
          <a:prstGeom prst="roundRect">
            <a:avLst>
              <a:gd name="adj" fmla="val 25417"/>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C6992646-DDD3-B7A2-6326-D651791CF09A}"/>
              </a:ext>
            </a:extLst>
          </xdr:cNvPr>
          <xdr:cNvSpPr txBox="1"/>
        </xdr:nvSpPr>
        <xdr:spPr>
          <a:xfrm>
            <a:off x="800100" y="693420"/>
            <a:ext cx="11811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a:t>
            </a:r>
            <a:r>
              <a:rPr lang="en-IN" sz="1200" b="1" baseline="0"/>
              <a:t> orders</a:t>
            </a:r>
            <a:endParaRPr lang="en-IN" sz="1200" b="1"/>
          </a:p>
        </xdr:txBody>
      </xdr:sp>
      <xdr:sp macro="" textlink="'pivot Table'!I4">
        <xdr:nvSpPr>
          <xdr:cNvPr id="24" name="TextBox 23">
            <a:extLst>
              <a:ext uri="{FF2B5EF4-FFF2-40B4-BE49-F238E27FC236}">
                <a16:creationId xmlns:a16="http://schemas.microsoft.com/office/drawing/2014/main" id="{FCE60D60-0A39-FC90-CFD5-A6A47585AC78}"/>
              </a:ext>
            </a:extLst>
          </xdr:cNvPr>
          <xdr:cNvSpPr txBox="1"/>
        </xdr:nvSpPr>
        <xdr:spPr>
          <a:xfrm>
            <a:off x="777240" y="914400"/>
            <a:ext cx="11811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326943-7AB9-433E-8ED8-0944E84B7239}" type="TxLink">
              <a:rPr lang="en-US" sz="1100" b="0" i="0" u="none" strike="noStrike">
                <a:solidFill>
                  <a:schemeClr val="accent1"/>
                </a:solidFill>
                <a:latin typeface="Calibri"/>
                <a:ea typeface="Calibri"/>
                <a:cs typeface="Calibri"/>
              </a:rPr>
              <a:pPr marL="0" indent="0" algn="ctr"/>
              <a:t>30</a:t>
            </a:fld>
            <a:endParaRPr lang="en-IN" sz="1100" b="0" i="0" u="none" strike="noStrike">
              <a:solidFill>
                <a:schemeClr val="accent1"/>
              </a:solidFill>
              <a:latin typeface="Calibri"/>
              <a:ea typeface="Calibri"/>
              <a:cs typeface="Calibri"/>
            </a:endParaRPr>
          </a:p>
        </xdr:txBody>
      </xdr:sp>
    </xdr:grpSp>
    <xdr:clientData/>
  </xdr:twoCellAnchor>
  <xdr:twoCellAnchor>
    <xdr:from>
      <xdr:col>14</xdr:col>
      <xdr:colOff>441960</xdr:colOff>
      <xdr:row>3</xdr:row>
      <xdr:rowOff>68580</xdr:rowOff>
    </xdr:from>
    <xdr:to>
      <xdr:col>17</xdr:col>
      <xdr:colOff>45720</xdr:colOff>
      <xdr:row>6</xdr:row>
      <xdr:rowOff>129540</xdr:rowOff>
    </xdr:to>
    <xdr:grpSp>
      <xdr:nvGrpSpPr>
        <xdr:cNvPr id="25" name="Group 24">
          <a:extLst>
            <a:ext uri="{FF2B5EF4-FFF2-40B4-BE49-F238E27FC236}">
              <a16:creationId xmlns:a16="http://schemas.microsoft.com/office/drawing/2014/main" id="{B35231DA-9B55-4AC0-A80D-9368F818A563}"/>
            </a:ext>
          </a:extLst>
        </xdr:cNvPr>
        <xdr:cNvGrpSpPr/>
      </xdr:nvGrpSpPr>
      <xdr:grpSpPr>
        <a:xfrm>
          <a:off x="8976360" y="617220"/>
          <a:ext cx="1432560" cy="609600"/>
          <a:chOff x="662940" y="601980"/>
          <a:chExt cx="1432560" cy="609600"/>
        </a:xfrm>
      </xdr:grpSpPr>
      <xdr:sp macro="" textlink="">
        <xdr:nvSpPr>
          <xdr:cNvPr id="26" name="Rectangle: Rounded Corners 25">
            <a:extLst>
              <a:ext uri="{FF2B5EF4-FFF2-40B4-BE49-F238E27FC236}">
                <a16:creationId xmlns:a16="http://schemas.microsoft.com/office/drawing/2014/main" id="{DE8E72FB-BBB7-F2F5-E80B-DCA38AEE41DE}"/>
              </a:ext>
            </a:extLst>
          </xdr:cNvPr>
          <xdr:cNvSpPr/>
        </xdr:nvSpPr>
        <xdr:spPr>
          <a:xfrm>
            <a:off x="662940" y="601980"/>
            <a:ext cx="1432560" cy="609600"/>
          </a:xfrm>
          <a:prstGeom prst="roundRect">
            <a:avLst>
              <a:gd name="adj" fmla="val 25417"/>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83D1671C-E8A8-B874-442A-D22688FE0BCE}"/>
              </a:ext>
            </a:extLst>
          </xdr:cNvPr>
          <xdr:cNvSpPr txBox="1"/>
        </xdr:nvSpPr>
        <xdr:spPr>
          <a:xfrm>
            <a:off x="800100" y="693420"/>
            <a:ext cx="11811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COGS</a:t>
            </a:r>
          </a:p>
        </xdr:txBody>
      </xdr:sp>
      <xdr:sp macro="" textlink="'pivot Table'!K4">
        <xdr:nvSpPr>
          <xdr:cNvPr id="28" name="TextBox 27">
            <a:extLst>
              <a:ext uri="{FF2B5EF4-FFF2-40B4-BE49-F238E27FC236}">
                <a16:creationId xmlns:a16="http://schemas.microsoft.com/office/drawing/2014/main" id="{63F4CFF3-A87C-8967-133F-5F469FDAD7CD}"/>
              </a:ext>
            </a:extLst>
          </xdr:cNvPr>
          <xdr:cNvSpPr txBox="1"/>
        </xdr:nvSpPr>
        <xdr:spPr>
          <a:xfrm>
            <a:off x="777240" y="914400"/>
            <a:ext cx="11811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70F341-5934-48CF-9507-206F5BFE3137}" type="TxLink">
              <a:rPr lang="en-US" sz="1100" b="0" i="0" u="none" strike="noStrike">
                <a:solidFill>
                  <a:schemeClr val="accent1"/>
                </a:solidFill>
                <a:latin typeface="Calibri"/>
                <a:ea typeface="Calibri"/>
                <a:cs typeface="Calibri"/>
              </a:rPr>
              <a:pPr marL="0" indent="0" algn="ctr"/>
              <a:t>11374.5</a:t>
            </a:fld>
            <a:endParaRPr lang="en-IN" sz="1100" b="0" i="0" u="none" strike="noStrike">
              <a:solidFill>
                <a:schemeClr val="accent1"/>
              </a:solidFill>
              <a:latin typeface="Calibri"/>
              <a:ea typeface="Calibri"/>
              <a:cs typeface="Calibri"/>
            </a:endParaRPr>
          </a:p>
        </xdr:txBody>
      </xdr:sp>
    </xdr:grpSp>
    <xdr:clientData/>
  </xdr:twoCellAnchor>
  <xdr:twoCellAnchor>
    <xdr:from>
      <xdr:col>17</xdr:col>
      <xdr:colOff>38100</xdr:colOff>
      <xdr:row>1</xdr:row>
      <xdr:rowOff>0</xdr:rowOff>
    </xdr:from>
    <xdr:to>
      <xdr:col>18</xdr:col>
      <xdr:colOff>342900</xdr:colOff>
      <xdr:row>2</xdr:row>
      <xdr:rowOff>76200</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C60C75F1-5455-3569-646E-0C75693DF788}"/>
            </a:ext>
          </a:extLst>
        </xdr:cNvPr>
        <xdr:cNvSpPr/>
      </xdr:nvSpPr>
      <xdr:spPr>
        <a:xfrm>
          <a:off x="10401300" y="182880"/>
          <a:ext cx="914400" cy="259080"/>
        </a:xfrm>
        <a:prstGeom prst="roundRect">
          <a:avLst>
            <a:gd name="adj" fmla="val 3725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472440</xdr:colOff>
      <xdr:row>0</xdr:row>
      <xdr:rowOff>167640</xdr:rowOff>
    </xdr:from>
    <xdr:to>
      <xdr:col>16</xdr:col>
      <xdr:colOff>510540</xdr:colOff>
      <xdr:row>2</xdr:row>
      <xdr:rowOff>68580</xdr:rowOff>
    </xdr:to>
    <xdr:sp macro="" textlink="">
      <xdr:nvSpPr>
        <xdr:cNvPr id="31" name="Rectangle: Rounded Corners 30">
          <a:hlinkClick xmlns:r="http://schemas.openxmlformats.org/officeDocument/2006/relationships" r:id="rId2"/>
          <a:extLst>
            <a:ext uri="{FF2B5EF4-FFF2-40B4-BE49-F238E27FC236}">
              <a16:creationId xmlns:a16="http://schemas.microsoft.com/office/drawing/2014/main" id="{00BAD527-B8C9-F9DF-FC13-253B5E50FD92}"/>
            </a:ext>
          </a:extLst>
        </xdr:cNvPr>
        <xdr:cNvSpPr/>
      </xdr:nvSpPr>
      <xdr:spPr>
        <a:xfrm>
          <a:off x="9006840" y="167640"/>
          <a:ext cx="1257300" cy="266700"/>
        </a:xfrm>
        <a:prstGeom prst="roundRect">
          <a:avLst>
            <a:gd name="adj" fmla="val 29312"/>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a:t>
          </a:r>
          <a:r>
            <a:rPr lang="en-IN" sz="1100" baseline="0"/>
            <a:t> pivot tables</a:t>
          </a:r>
          <a:endParaRPr lang="en-IN" sz="1100"/>
        </a:p>
      </xdr:txBody>
    </xdr:sp>
    <xdr:clientData/>
  </xdr:twoCellAnchor>
  <xdr:twoCellAnchor>
    <xdr:from>
      <xdr:col>0</xdr:col>
      <xdr:colOff>175260</xdr:colOff>
      <xdr:row>7</xdr:row>
      <xdr:rowOff>0</xdr:rowOff>
    </xdr:from>
    <xdr:to>
      <xdr:col>11</xdr:col>
      <xdr:colOff>53340</xdr:colOff>
      <xdr:row>22</xdr:row>
      <xdr:rowOff>0</xdr:rowOff>
    </xdr:to>
    <xdr:graphicFrame macro="">
      <xdr:nvGraphicFramePr>
        <xdr:cNvPr id="32" name="Chart 31">
          <a:extLst>
            <a:ext uri="{FF2B5EF4-FFF2-40B4-BE49-F238E27FC236}">
              <a16:creationId xmlns:a16="http://schemas.microsoft.com/office/drawing/2014/main" id="{4E94956F-18F6-47BC-A0CC-A1F5202B6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236220</xdr:colOff>
      <xdr:row>7</xdr:row>
      <xdr:rowOff>0</xdr:rowOff>
    </xdr:from>
    <xdr:to>
      <xdr:col>18</xdr:col>
      <xdr:colOff>541020</xdr:colOff>
      <xdr:row>22</xdr:row>
      <xdr:rowOff>0</xdr:rowOff>
    </xdr:to>
    <xdr:graphicFrame macro="">
      <xdr:nvGraphicFramePr>
        <xdr:cNvPr id="29" name="Chart 28">
          <a:extLst>
            <a:ext uri="{FF2B5EF4-FFF2-40B4-BE49-F238E27FC236}">
              <a16:creationId xmlns:a16="http://schemas.microsoft.com/office/drawing/2014/main" id="{5EC0DBAF-A710-4EC9-A1C6-A5A2976BC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228600</xdr:colOff>
      <xdr:row>22</xdr:row>
      <xdr:rowOff>99060</xdr:rowOff>
    </xdr:from>
    <xdr:to>
      <xdr:col>5</xdr:col>
      <xdr:colOff>281940</xdr:colOff>
      <xdr:row>36</xdr:row>
      <xdr:rowOff>144780</xdr:rowOff>
    </xdr:to>
    <xdr:graphicFrame macro="">
      <xdr:nvGraphicFramePr>
        <xdr:cNvPr id="30" name="Chart 29">
          <a:extLst>
            <a:ext uri="{FF2B5EF4-FFF2-40B4-BE49-F238E27FC236}">
              <a16:creationId xmlns:a16="http://schemas.microsoft.com/office/drawing/2014/main" id="{4F98F37E-BD08-42A0-9AE7-431CCB685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373380</xdr:colOff>
      <xdr:row>22</xdr:row>
      <xdr:rowOff>91440</xdr:rowOff>
    </xdr:from>
    <xdr:to>
      <xdr:col>12</xdr:col>
      <xdr:colOff>121920</xdr:colOff>
      <xdr:row>36</xdr:row>
      <xdr:rowOff>68580</xdr:rowOff>
    </xdr:to>
    <xdr:graphicFrame macro="">
      <xdr:nvGraphicFramePr>
        <xdr:cNvPr id="33" name="Chart 32">
          <a:extLst>
            <a:ext uri="{FF2B5EF4-FFF2-40B4-BE49-F238E27FC236}">
              <a16:creationId xmlns:a16="http://schemas.microsoft.com/office/drawing/2014/main" id="{F83F4B99-2CB6-4FD8-B1D4-D17691C36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251460</xdr:colOff>
      <xdr:row>6</xdr:row>
      <xdr:rowOff>167640</xdr:rowOff>
    </xdr:from>
    <xdr:to>
      <xdr:col>22</xdr:col>
      <xdr:colOff>251460</xdr:colOff>
      <xdr:row>14</xdr:row>
      <xdr:rowOff>175260</xdr:rowOff>
    </xdr:to>
    <mc:AlternateContent xmlns:mc="http://schemas.openxmlformats.org/markup-compatibility/2006" xmlns:a14="http://schemas.microsoft.com/office/drawing/2010/main">
      <mc:Choice Requires="a14">
        <xdr:graphicFrame macro="">
          <xdr:nvGraphicFramePr>
            <xdr:cNvPr id="36" name="Product Category">
              <a:extLst>
                <a:ext uri="{FF2B5EF4-FFF2-40B4-BE49-F238E27FC236}">
                  <a16:creationId xmlns:a16="http://schemas.microsoft.com/office/drawing/2014/main" id="{5B3524DE-1BD5-7713-8038-ADEB6F563D7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833860" y="1264920"/>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220980</xdr:colOff>
      <xdr:row>22</xdr:row>
      <xdr:rowOff>91440</xdr:rowOff>
    </xdr:from>
    <xdr:to>
      <xdr:col>18</xdr:col>
      <xdr:colOff>579120</xdr:colOff>
      <xdr:row>36</xdr:row>
      <xdr:rowOff>76200</xdr:rowOff>
    </xdr:to>
    <xdr:graphicFrame macro="">
      <xdr:nvGraphicFramePr>
        <xdr:cNvPr id="37" name="Chart 36">
          <a:extLst>
            <a:ext uri="{FF2B5EF4-FFF2-40B4-BE49-F238E27FC236}">
              <a16:creationId xmlns:a16="http://schemas.microsoft.com/office/drawing/2014/main" id="{4F3375E3-89C3-4E86-9EE5-DB5C386F9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259080</xdr:colOff>
      <xdr:row>16</xdr:row>
      <xdr:rowOff>30480</xdr:rowOff>
    </xdr:from>
    <xdr:to>
      <xdr:col>22</xdr:col>
      <xdr:colOff>259080</xdr:colOff>
      <xdr:row>29</xdr:row>
      <xdr:rowOff>120015</xdr:rowOff>
    </xdr:to>
    <mc:AlternateContent xmlns:mc="http://schemas.openxmlformats.org/markup-compatibility/2006" xmlns:a14="http://schemas.microsoft.com/office/drawing/2010/main">
      <mc:Choice Requires="a14">
        <xdr:graphicFrame macro="">
          <xdr:nvGraphicFramePr>
            <xdr:cNvPr id="40" name="Country">
              <a:extLst>
                <a:ext uri="{FF2B5EF4-FFF2-40B4-BE49-F238E27FC236}">
                  <a16:creationId xmlns:a16="http://schemas.microsoft.com/office/drawing/2014/main" id="{3C5E5B49-E30A-E31F-58B6-55C01847AC7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841480" y="2956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0.39612</cdr:x>
      <cdr:y>0.07778</cdr:y>
    </cdr:from>
    <cdr:to>
      <cdr:x>0.61758</cdr:x>
      <cdr:y>0.12778</cdr:y>
    </cdr:to>
    <cdr:sp macro="" textlink="">
      <cdr:nvSpPr>
        <cdr:cNvPr id="2" name="TextBox 1">
          <a:extLst xmlns:a="http://schemas.openxmlformats.org/drawingml/2006/main">
            <a:ext uri="{FF2B5EF4-FFF2-40B4-BE49-F238E27FC236}">
              <a16:creationId xmlns:a16="http://schemas.microsoft.com/office/drawing/2014/main" id="{84A53F99-00F6-367E-2F11-61D762759855}"/>
            </a:ext>
          </a:extLst>
        </cdr:cNvPr>
        <cdr:cNvSpPr txBox="1"/>
      </cdr:nvSpPr>
      <cdr:spPr>
        <a:xfrm xmlns:a="http://schemas.openxmlformats.org/drawingml/2006/main">
          <a:off x="2644140" y="213360"/>
          <a:ext cx="1478280" cy="1371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0.31621</cdr:x>
      <cdr:y>0.03611</cdr:y>
    </cdr:from>
    <cdr:to>
      <cdr:x>0.60616</cdr:x>
      <cdr:y>0.14444</cdr:y>
    </cdr:to>
    <cdr:sp macro="" textlink="">
      <cdr:nvSpPr>
        <cdr:cNvPr id="3" name="TextBox 2">
          <a:extLst xmlns:a="http://schemas.openxmlformats.org/drawingml/2006/main">
            <a:ext uri="{FF2B5EF4-FFF2-40B4-BE49-F238E27FC236}">
              <a16:creationId xmlns:a16="http://schemas.microsoft.com/office/drawing/2014/main" id="{62917A12-B99F-208C-F937-8F44CBDF9F9E}"/>
            </a:ext>
          </a:extLst>
        </cdr:cNvPr>
        <cdr:cNvSpPr txBox="1"/>
      </cdr:nvSpPr>
      <cdr:spPr>
        <a:xfrm xmlns:a="http://schemas.openxmlformats.org/drawingml/2006/main">
          <a:off x="2110740" y="99060"/>
          <a:ext cx="1935480" cy="2971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b="0" kern="1200">
            <a:solidFill>
              <a:schemeClr val="tx1"/>
            </a:solidFill>
          </a:endParaRPr>
        </a:p>
      </cdr:txBody>
    </cdr:sp>
  </cdr:relSizeAnchor>
  <cdr:relSizeAnchor xmlns:cdr="http://schemas.openxmlformats.org/drawingml/2006/chartDrawing">
    <cdr:from>
      <cdr:x>0.30365</cdr:x>
      <cdr:y>0.01852</cdr:y>
    </cdr:from>
    <cdr:to>
      <cdr:x>0.72945</cdr:x>
      <cdr:y>0.13519</cdr:y>
    </cdr:to>
    <cdr:sp macro="" textlink="">
      <cdr:nvSpPr>
        <cdr:cNvPr id="4" name="Rectangle: Rounded Corners 3">
          <a:extLst xmlns:a="http://schemas.openxmlformats.org/drawingml/2006/main">
            <a:ext uri="{FF2B5EF4-FFF2-40B4-BE49-F238E27FC236}">
              <a16:creationId xmlns:a16="http://schemas.microsoft.com/office/drawing/2014/main" id="{5239EEE5-D846-472E-67F3-48D24E667694}"/>
            </a:ext>
          </a:extLst>
        </cdr:cNvPr>
        <cdr:cNvSpPr/>
      </cdr:nvSpPr>
      <cdr:spPr>
        <a:xfrm xmlns:a="http://schemas.openxmlformats.org/drawingml/2006/main">
          <a:off x="2026920" y="50800"/>
          <a:ext cx="2842260" cy="320040"/>
        </a:xfrm>
        <a:prstGeom xmlns:a="http://schemas.openxmlformats.org/drawingml/2006/main" prst="roundRect">
          <a:avLst>
            <a:gd name="adj" fmla="val 46396"/>
          </a:avLst>
        </a:prstGeom>
        <a:solidFill xmlns:a="http://schemas.openxmlformats.org/drawingml/2006/main">
          <a:schemeClr val="accent5">
            <a:lumMod val="20000"/>
            <a:lumOff val="8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kern="1200">
              <a:solidFill>
                <a:srgbClr val="C00000"/>
              </a:solidFill>
            </a:rPr>
            <a:t>Monthly</a:t>
          </a:r>
          <a:r>
            <a:rPr lang="en-IN" kern="1200" baseline="0">
              <a:solidFill>
                <a:srgbClr val="C00000"/>
              </a:solidFill>
            </a:rPr>
            <a:t> Revenue &amp; Profit</a:t>
          </a:r>
          <a:endParaRPr lang="en-IN" kern="1200">
            <a:solidFill>
              <a:srgbClr val="C0000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0.13333</cdr:x>
      <cdr:y>0.02778</cdr:y>
    </cdr:from>
    <cdr:to>
      <cdr:x>0.76333</cdr:x>
      <cdr:y>0.14444</cdr:y>
    </cdr:to>
    <cdr:sp macro="" textlink="">
      <cdr:nvSpPr>
        <cdr:cNvPr id="2" name="Rectangle: Rounded Corners 1">
          <a:extLst xmlns:a="http://schemas.openxmlformats.org/drawingml/2006/main">
            <a:ext uri="{FF2B5EF4-FFF2-40B4-BE49-F238E27FC236}">
              <a16:creationId xmlns:a16="http://schemas.microsoft.com/office/drawing/2014/main" id="{36FBE566-A90F-98EE-B1B2-41A7D1867070}"/>
            </a:ext>
          </a:extLst>
        </cdr:cNvPr>
        <cdr:cNvSpPr/>
      </cdr:nvSpPr>
      <cdr:spPr>
        <a:xfrm xmlns:a="http://schemas.openxmlformats.org/drawingml/2006/main">
          <a:off x="609600" y="76200"/>
          <a:ext cx="2880360" cy="320040"/>
        </a:xfrm>
        <a:prstGeom xmlns:a="http://schemas.openxmlformats.org/drawingml/2006/main" prst="roundRect">
          <a:avLst>
            <a:gd name="adj" fmla="val 46396"/>
          </a:avLst>
        </a:prstGeom>
        <a:solidFill xmlns:a="http://schemas.openxmlformats.org/drawingml/2006/main">
          <a:schemeClr val="accent5">
            <a:lumMod val="20000"/>
            <a:lumOff val="8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rgbClr val="C00000"/>
              </a:solidFill>
            </a:rPr>
            <a:t>Top</a:t>
          </a:r>
          <a:r>
            <a:rPr lang="en-IN" kern="1200" baseline="0">
              <a:solidFill>
                <a:srgbClr val="C00000"/>
              </a:solidFill>
            </a:rPr>
            <a:t> 5 country by revenue</a:t>
          </a:r>
          <a:endParaRPr lang="en-IN" kern="1200">
            <a:solidFill>
              <a:srgbClr val="C00000"/>
            </a:solidFill>
          </a:endParaRPr>
        </a:p>
      </cdr:txBody>
    </cdr:sp>
  </cdr:relSizeAnchor>
  <cdr:relSizeAnchor xmlns:cdr="http://schemas.openxmlformats.org/drawingml/2006/chartDrawing">
    <cdr:from>
      <cdr:x>0.39833</cdr:x>
      <cdr:y>0.05278</cdr:y>
    </cdr:from>
    <cdr:to>
      <cdr:x>0.71</cdr:x>
      <cdr:y>0.12222</cdr:y>
    </cdr:to>
    <cdr:sp macro="" textlink="">
      <cdr:nvSpPr>
        <cdr:cNvPr id="4" name="TextBox 3">
          <a:extLst xmlns:a="http://schemas.openxmlformats.org/drawingml/2006/main">
            <a:ext uri="{FF2B5EF4-FFF2-40B4-BE49-F238E27FC236}">
              <a16:creationId xmlns:a16="http://schemas.microsoft.com/office/drawing/2014/main" id="{BCFBA978-D524-478F-EC6C-23D5A52BC0A5}"/>
            </a:ext>
          </a:extLst>
        </cdr:cNvPr>
        <cdr:cNvSpPr txBox="1"/>
      </cdr:nvSpPr>
      <cdr:spPr>
        <a:xfrm xmlns:a="http://schemas.openxmlformats.org/drawingml/2006/main">
          <a:off x="1821180" y="144780"/>
          <a:ext cx="142494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0.22667</cdr:x>
      <cdr:y>0.04167</cdr:y>
    </cdr:from>
    <cdr:to>
      <cdr:x>0.78167</cdr:x>
      <cdr:y>0.11944</cdr:y>
    </cdr:to>
    <cdr:sp macro="" textlink="">
      <cdr:nvSpPr>
        <cdr:cNvPr id="5" name="TextBox 4">
          <a:extLst xmlns:a="http://schemas.openxmlformats.org/drawingml/2006/main">
            <a:ext uri="{FF2B5EF4-FFF2-40B4-BE49-F238E27FC236}">
              <a16:creationId xmlns:a16="http://schemas.microsoft.com/office/drawing/2014/main" id="{C5B9031A-1010-9644-9E83-1C88555C12A2}"/>
            </a:ext>
          </a:extLst>
        </cdr:cNvPr>
        <cdr:cNvSpPr txBox="1"/>
      </cdr:nvSpPr>
      <cdr:spPr>
        <a:xfrm xmlns:a="http://schemas.openxmlformats.org/drawingml/2006/main">
          <a:off x="1036320" y="114300"/>
          <a:ext cx="2537460"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0.01651</cdr:x>
      <cdr:y>0.03662</cdr:y>
    </cdr:from>
    <cdr:to>
      <cdr:x>0.85651</cdr:x>
      <cdr:y>0.20282</cdr:y>
    </cdr:to>
    <cdr:sp macro="" textlink="">
      <cdr:nvSpPr>
        <cdr:cNvPr id="3" name="Rectangle: Rounded Corners 2">
          <a:extLst xmlns:a="http://schemas.openxmlformats.org/drawingml/2006/main">
            <a:ext uri="{FF2B5EF4-FFF2-40B4-BE49-F238E27FC236}">
              <a16:creationId xmlns:a16="http://schemas.microsoft.com/office/drawing/2014/main" id="{5239EEE5-D846-472E-67F3-48D24E667694}"/>
            </a:ext>
          </a:extLst>
        </cdr:cNvPr>
        <cdr:cNvSpPr/>
      </cdr:nvSpPr>
      <cdr:spPr>
        <a:xfrm xmlns:a="http://schemas.openxmlformats.org/drawingml/2006/main">
          <a:off x="54468" y="99060"/>
          <a:ext cx="2771547" cy="449580"/>
        </a:xfrm>
        <a:prstGeom xmlns:a="http://schemas.openxmlformats.org/drawingml/2006/main" prst="roundRect">
          <a:avLst>
            <a:gd name="adj" fmla="val 46396"/>
          </a:avLst>
        </a:prstGeom>
        <a:solidFill xmlns:a="http://schemas.openxmlformats.org/drawingml/2006/main">
          <a:schemeClr val="accent5">
            <a:lumMod val="20000"/>
            <a:lumOff val="8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kern="1200">
              <a:solidFill>
                <a:srgbClr val="C00000"/>
              </a:solidFill>
            </a:rPr>
            <a:t>Revenue</a:t>
          </a:r>
          <a:r>
            <a:rPr lang="en-IN" kern="1200" baseline="0">
              <a:solidFill>
                <a:srgbClr val="C00000"/>
              </a:solidFill>
            </a:rPr>
            <a:t> share by channel</a:t>
          </a:r>
          <a:endParaRPr lang="en-IN" kern="1200">
            <a:solidFill>
              <a:srgbClr val="C00000"/>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0.01265</cdr:x>
      <cdr:y>0.03049</cdr:y>
    </cdr:from>
    <cdr:to>
      <cdr:x>0.72992</cdr:x>
      <cdr:y>0.14715</cdr:y>
    </cdr:to>
    <cdr:sp macro="" textlink="">
      <cdr:nvSpPr>
        <cdr:cNvPr id="2" name="Rectangle: Rounded Corners 1">
          <a:extLst xmlns:a="http://schemas.openxmlformats.org/drawingml/2006/main">
            <a:ext uri="{FF2B5EF4-FFF2-40B4-BE49-F238E27FC236}">
              <a16:creationId xmlns:a16="http://schemas.microsoft.com/office/drawing/2014/main" id="{5239EEE5-D846-472E-67F3-48D24E667694}"/>
            </a:ext>
          </a:extLst>
        </cdr:cNvPr>
        <cdr:cNvSpPr/>
      </cdr:nvSpPr>
      <cdr:spPr>
        <a:xfrm xmlns:a="http://schemas.openxmlformats.org/drawingml/2006/main">
          <a:off x="50800" y="77362"/>
          <a:ext cx="2880360" cy="296018"/>
        </a:xfrm>
        <a:prstGeom xmlns:a="http://schemas.openxmlformats.org/drawingml/2006/main" prst="roundRect">
          <a:avLst>
            <a:gd name="adj" fmla="val 46396"/>
          </a:avLst>
        </a:prstGeom>
        <a:solidFill xmlns:a="http://schemas.openxmlformats.org/drawingml/2006/main">
          <a:schemeClr val="accent5">
            <a:lumMod val="20000"/>
            <a:lumOff val="8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kern="1200">
              <a:solidFill>
                <a:srgbClr val="C00000"/>
              </a:solidFill>
            </a:rPr>
            <a:t>Region</a:t>
          </a:r>
          <a:r>
            <a:rPr lang="en-IN" kern="1200" baseline="0">
              <a:solidFill>
                <a:srgbClr val="C00000"/>
              </a:solidFill>
            </a:rPr>
            <a:t> wise comparision</a:t>
          </a:r>
          <a:endParaRPr lang="en-IN" kern="1200">
            <a:solidFill>
              <a:srgbClr val="C00000"/>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0.01111</cdr:x>
      <cdr:y>0.01996</cdr:y>
    </cdr:from>
    <cdr:to>
      <cdr:x>0.64111</cdr:x>
      <cdr:y>0.13627</cdr:y>
    </cdr:to>
    <cdr:sp macro="" textlink="">
      <cdr:nvSpPr>
        <cdr:cNvPr id="3" name="Rectangle: Rounded Corners 2">
          <a:extLst xmlns:a="http://schemas.openxmlformats.org/drawingml/2006/main">
            <a:ext uri="{FF2B5EF4-FFF2-40B4-BE49-F238E27FC236}">
              <a16:creationId xmlns:a16="http://schemas.microsoft.com/office/drawing/2014/main" id="{475AD6E0-82D0-1688-080F-03DDEFBB8084}"/>
            </a:ext>
          </a:extLst>
        </cdr:cNvPr>
        <cdr:cNvSpPr/>
      </cdr:nvSpPr>
      <cdr:spPr>
        <a:xfrm xmlns:a="http://schemas.openxmlformats.org/drawingml/2006/main">
          <a:off x="50800" y="50800"/>
          <a:ext cx="2880360" cy="296018"/>
        </a:xfrm>
        <a:prstGeom xmlns:a="http://schemas.openxmlformats.org/drawingml/2006/main" prst="roundRect">
          <a:avLst>
            <a:gd name="adj" fmla="val 46396"/>
          </a:avLst>
        </a:prstGeom>
        <a:solidFill xmlns:a="http://schemas.openxmlformats.org/drawingml/2006/main">
          <a:schemeClr val="accent5">
            <a:lumMod val="20000"/>
            <a:lumOff val="8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kern="1200">
              <a:solidFill>
                <a:srgbClr val="C00000"/>
              </a:solidFill>
            </a:rPr>
            <a:t>Country</a:t>
          </a:r>
          <a:r>
            <a:rPr lang="en-IN" kern="1200" baseline="0">
              <a:solidFill>
                <a:srgbClr val="C00000"/>
              </a:solidFill>
            </a:rPr>
            <a:t> wise chart</a:t>
          </a:r>
          <a:endParaRPr lang="en-IN" kern="1200">
            <a:solidFill>
              <a:srgbClr val="C00000"/>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refreshedDate="46318.625662268518" createdVersion="8" refreshedVersion="8" minRefreshableVersion="3" recordCount="30" xr:uid="{A5982874-1559-4DE1-8AFF-AAEC1DCEFFB3}">
  <cacheSource type="worksheet">
    <worksheetSource ref="A1:S31" sheet="sales order"/>
  </cacheSource>
  <cacheFields count="19">
    <cacheField name="ID" numFmtId="0">
      <sharedItems containsSemiMixedTypes="0" containsString="0" containsNumber="1" containsInteger="1" minValue="3392" maxValue="3421"/>
    </cacheField>
    <cacheField name="Order Date" numFmtId="14">
      <sharedItems containsSemiMixedTypes="0" containsNonDate="0" containsDate="1" containsString="0" minDate="2026-01-05T00:00:00" maxDate="2027-01-01T00:00:00"/>
    </cacheField>
    <cacheField name="year" numFmtId="0">
      <sharedItems containsSemiMixedTypes="0" containsString="0" containsNumber="1" containsInteger="1" minValue="2026" maxValue="2026"/>
    </cacheField>
    <cacheField name=" month no" numFmtId="0">
      <sharedItems containsSemiMixedTypes="0" containsString="0" containsNumber="1" containsInteger="1" minValue="1" maxValue="12" count="12">
        <n v="1"/>
        <n v="11"/>
        <n v="10"/>
        <n v="9"/>
        <n v="8"/>
        <n v="6"/>
        <n v="5"/>
        <n v="7"/>
        <n v="4"/>
        <n v="3"/>
        <n v="12"/>
        <n v="2"/>
      </sharedItems>
    </cacheField>
    <cacheField name="month" numFmtId="164">
      <sharedItems count="12">
        <s v="Jan"/>
        <s v="Nov"/>
        <s v="Oct"/>
        <s v="Sep"/>
        <s v="Aug"/>
        <s v="Jun"/>
        <s v="May"/>
        <s v="Jul"/>
        <s v="Apr"/>
        <s v="Mar"/>
        <s v="Dec"/>
        <s v="Feb"/>
      </sharedItems>
    </cacheField>
    <cacheField name="Region" numFmtId="0">
      <sharedItems count="6">
        <s v="North America"/>
        <s v="Europe"/>
        <s v="Asia"/>
        <s v="South America"/>
        <s v="Africa"/>
        <s v="Oceania"/>
      </sharedItems>
    </cacheField>
    <cacheField name="Country" numFmtId="0">
      <sharedItems count="10">
        <s v="United States"/>
        <s v="Canada"/>
        <s v="Germany"/>
        <s v="France"/>
        <s v="India"/>
        <s v="Japan"/>
        <s v="Brazil"/>
        <s v="South Africa"/>
        <s v="Australia"/>
        <s v="Singapore"/>
      </sharedItems>
    </cacheField>
    <cacheField name="Sales Channel" numFmtId="0">
      <sharedItems count="3">
        <s v="Online"/>
        <s v="Retail"/>
        <s v="Distributor"/>
      </sharedItems>
    </cacheField>
    <cacheField name="Customer Type" numFmtId="0">
      <sharedItems/>
    </cacheField>
    <cacheField name="Product Category" numFmtId="0">
      <sharedItems count="4">
        <s v="Electronics"/>
        <s v="Furniture"/>
        <s v="Office Supplies"/>
        <s v="Accessories"/>
      </sharedItems>
    </cacheField>
    <cacheField name="Product" numFmtId="0">
      <sharedItems/>
    </cacheField>
    <cacheField name="Units Sold" numFmtId="0">
      <sharedItems containsSemiMixedTypes="0" containsString="0" containsNumber="1" containsInteger="1" minValue="4" maxValue="15"/>
    </cacheField>
    <cacheField name="Unit Price" numFmtId="0">
      <sharedItems containsSemiMixedTypes="0" containsString="0" containsNumber="1" containsInteger="1" minValue="15" maxValue="220"/>
    </cacheField>
    <cacheField name="Discount" numFmtId="9">
      <sharedItems containsSemiMixedTypes="0" containsString="0" containsNumber="1" minValue="0" maxValue="0.15"/>
    </cacheField>
    <cacheField name="Unit Cost" numFmtId="0">
      <sharedItems containsSemiMixedTypes="0" containsString="0" containsNumber="1" minValue="6.5" maxValue="140"/>
    </cacheField>
    <cacheField name="Revenue" numFmtId="0">
      <sharedItems containsSemiMixedTypes="0" containsString="0" containsNumber="1" minValue="67.5" maxValue="2299"/>
    </cacheField>
    <cacheField name="COGS" numFmtId="0">
      <sharedItems containsSemiMixedTypes="0" containsString="0" containsNumber="1" minValue="32.5" maxValue="1540"/>
    </cacheField>
    <cacheField name="Gross Profit" numFmtId="0">
      <sharedItems containsSemiMixedTypes="0" containsString="0" containsNumber="1" minValue="35" maxValue="759"/>
    </cacheField>
    <cacheField name="Gross Margin" numFmtId="9">
      <sharedItems containsSemiMixedTypes="0" containsString="0" containsNumber="1" minValue="0.25" maxValue="0.6"/>
    </cacheField>
  </cacheFields>
  <extLst>
    <ext xmlns:x14="http://schemas.microsoft.com/office/spreadsheetml/2009/9/main" uri="{725AE2AE-9491-48be-B2B4-4EB974FC3084}">
      <x14:pivotCacheDefinition pivotCacheId="102767993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3392"/>
    <d v="2026-01-05T00:00:00"/>
    <n v="2026"/>
    <x v="0"/>
    <x v="0"/>
    <x v="0"/>
    <x v="0"/>
    <x v="0"/>
    <s v="New"/>
    <x v="0"/>
    <s v="Wireless Mouse"/>
    <n v="4"/>
    <n v="25"/>
    <n v="0"/>
    <n v="12"/>
    <n v="100"/>
    <n v="48"/>
    <n v="52"/>
    <n v="0.52"/>
  </r>
  <r>
    <n v="3393"/>
    <d v="2026-01-06T00:00:00"/>
    <n v="2026"/>
    <x v="0"/>
    <x v="0"/>
    <x v="0"/>
    <x v="1"/>
    <x v="1"/>
    <s v="Corporate"/>
    <x v="1"/>
    <s v="Office Chair"/>
    <n v="7"/>
    <n v="180"/>
    <n v="0.05"/>
    <n v="110"/>
    <n v="1197"/>
    <n v="770"/>
    <n v="427"/>
    <n v="0.36"/>
  </r>
  <r>
    <n v="3394"/>
    <d v="2026-01-07T00:00:00"/>
    <n v="2026"/>
    <x v="0"/>
    <x v="0"/>
    <x v="1"/>
    <x v="2"/>
    <x v="2"/>
    <s v="Returning"/>
    <x v="2"/>
    <s v="Desk Organizer"/>
    <n v="10"/>
    <n v="20"/>
    <n v="0.1"/>
    <n v="8"/>
    <n v="180"/>
    <n v="80"/>
    <n v="100"/>
    <n v="0.56000000000000005"/>
  </r>
  <r>
    <n v="3395"/>
    <d v="2026-01-08T00:00:00"/>
    <n v="2026"/>
    <x v="0"/>
    <x v="0"/>
    <x v="1"/>
    <x v="3"/>
    <x v="0"/>
    <s v="New"/>
    <x v="0"/>
    <s v="Webcam"/>
    <n v="12"/>
    <n v="65"/>
    <n v="0.15"/>
    <n v="34"/>
    <n v="663"/>
    <n v="408"/>
    <n v="255"/>
    <n v="0.38"/>
  </r>
  <r>
    <n v="3396"/>
    <d v="2026-01-09T00:00:00"/>
    <n v="2026"/>
    <x v="0"/>
    <x v="0"/>
    <x v="2"/>
    <x v="4"/>
    <x v="1"/>
    <s v="Corporate"/>
    <x v="2"/>
    <s v="Notebook Pack"/>
    <n v="5"/>
    <n v="15"/>
    <n v="0"/>
    <n v="6.5"/>
    <n v="75"/>
    <n v="32.5"/>
    <n v="42.5"/>
    <n v="0.56999999999999995"/>
  </r>
  <r>
    <n v="3397"/>
    <d v="2026-01-10T00:00:00"/>
    <n v="2026"/>
    <x v="0"/>
    <x v="0"/>
    <x v="2"/>
    <x v="5"/>
    <x v="2"/>
    <s v="Returning"/>
    <x v="0"/>
    <s v="Keyboard"/>
    <n v="8"/>
    <n v="50"/>
    <n v="0.05"/>
    <n v="26"/>
    <n v="380"/>
    <n v="208"/>
    <n v="172"/>
    <n v="0.45"/>
  </r>
  <r>
    <n v="3398"/>
    <d v="2026-01-11T00:00:00"/>
    <n v="2026"/>
    <x v="0"/>
    <x v="0"/>
    <x v="3"/>
    <x v="6"/>
    <x v="0"/>
    <s v="New"/>
    <x v="3"/>
    <s v="USB-C Hub"/>
    <n v="15"/>
    <n v="35"/>
    <n v="0.1"/>
    <n v="17"/>
    <n v="472.5"/>
    <n v="255"/>
    <n v="217.5"/>
    <n v="0.46"/>
  </r>
  <r>
    <n v="3399"/>
    <d v="2026-01-12T00:00:00"/>
    <n v="2026"/>
    <x v="0"/>
    <x v="0"/>
    <x v="4"/>
    <x v="7"/>
    <x v="1"/>
    <s v="Corporate"/>
    <x v="0"/>
    <s v="Headphones"/>
    <n v="6"/>
    <n v="80"/>
    <n v="0.15"/>
    <n v="42"/>
    <n v="408"/>
    <n v="252"/>
    <n v="156"/>
    <n v="0.38"/>
  </r>
  <r>
    <n v="3400"/>
    <d v="2026-01-13T00:00:00"/>
    <n v="2026"/>
    <x v="0"/>
    <x v="0"/>
    <x v="5"/>
    <x v="8"/>
    <x v="2"/>
    <s v="Returning"/>
    <x v="3"/>
    <s v="Laptop Bag"/>
    <n v="9"/>
    <n v="45"/>
    <n v="0"/>
    <n v="22"/>
    <n v="405"/>
    <n v="198"/>
    <n v="207"/>
    <n v="0.51"/>
  </r>
  <r>
    <n v="3401"/>
    <d v="2026-01-14T00:00:00"/>
    <n v="2026"/>
    <x v="0"/>
    <x v="0"/>
    <x v="2"/>
    <x v="9"/>
    <x v="0"/>
    <s v="New"/>
    <x v="1"/>
    <s v="Study Desk"/>
    <n v="11"/>
    <n v="220"/>
    <n v="0.05"/>
    <n v="140"/>
    <n v="2299"/>
    <n v="1540"/>
    <n v="759"/>
    <n v="0.33"/>
  </r>
  <r>
    <n v="3402"/>
    <d v="2026-01-15T00:00:00"/>
    <n v="2026"/>
    <x v="0"/>
    <x v="0"/>
    <x v="0"/>
    <x v="0"/>
    <x v="1"/>
    <s v="Corporate"/>
    <x v="0"/>
    <s v="Wireless Mouse"/>
    <n v="4"/>
    <n v="25"/>
    <n v="0.1"/>
    <n v="12"/>
    <n v="90"/>
    <n v="48"/>
    <n v="42"/>
    <n v="0.47"/>
  </r>
  <r>
    <n v="3403"/>
    <d v="2026-01-16T00:00:00"/>
    <n v="2026"/>
    <x v="0"/>
    <x v="0"/>
    <x v="0"/>
    <x v="1"/>
    <x v="2"/>
    <s v="Returning"/>
    <x v="1"/>
    <s v="Office Chair"/>
    <n v="7"/>
    <n v="180"/>
    <n v="0.15"/>
    <n v="110"/>
    <n v="1071"/>
    <n v="770"/>
    <n v="301"/>
    <n v="0.28000000000000003"/>
  </r>
  <r>
    <n v="3404"/>
    <d v="2026-11-17T00:00:00"/>
    <n v="2026"/>
    <x v="1"/>
    <x v="1"/>
    <x v="1"/>
    <x v="2"/>
    <x v="0"/>
    <s v="New"/>
    <x v="2"/>
    <s v="Desk Organizer"/>
    <n v="10"/>
    <n v="20"/>
    <n v="0"/>
    <n v="8"/>
    <n v="200"/>
    <n v="80"/>
    <n v="120"/>
    <n v="0.6"/>
  </r>
  <r>
    <n v="3405"/>
    <d v="2026-10-18T00:00:00"/>
    <n v="2026"/>
    <x v="2"/>
    <x v="2"/>
    <x v="1"/>
    <x v="3"/>
    <x v="1"/>
    <s v="Corporate"/>
    <x v="0"/>
    <s v="Webcam"/>
    <n v="12"/>
    <n v="65"/>
    <n v="0.05"/>
    <n v="34"/>
    <n v="741"/>
    <n v="408"/>
    <n v="333"/>
    <n v="0.45"/>
  </r>
  <r>
    <n v="3406"/>
    <d v="2026-09-19T00:00:00"/>
    <n v="2026"/>
    <x v="3"/>
    <x v="3"/>
    <x v="2"/>
    <x v="4"/>
    <x v="2"/>
    <s v="Returning"/>
    <x v="2"/>
    <s v="Notebook Pack"/>
    <n v="5"/>
    <n v="15"/>
    <n v="0.1"/>
    <n v="6.5"/>
    <n v="67.5"/>
    <n v="32.5"/>
    <n v="35"/>
    <n v="0.52"/>
  </r>
  <r>
    <n v="3407"/>
    <d v="2026-01-20T00:00:00"/>
    <n v="2026"/>
    <x v="0"/>
    <x v="0"/>
    <x v="2"/>
    <x v="5"/>
    <x v="0"/>
    <s v="New"/>
    <x v="0"/>
    <s v="Keyboard"/>
    <n v="8"/>
    <n v="50"/>
    <n v="0.15"/>
    <n v="26"/>
    <n v="340"/>
    <n v="208"/>
    <n v="132"/>
    <n v="0.39"/>
  </r>
  <r>
    <n v="3408"/>
    <d v="2026-01-21T00:00:00"/>
    <n v="2026"/>
    <x v="0"/>
    <x v="0"/>
    <x v="3"/>
    <x v="6"/>
    <x v="1"/>
    <s v="Corporate"/>
    <x v="3"/>
    <s v="USB-C Hub"/>
    <n v="15"/>
    <n v="35"/>
    <n v="0"/>
    <n v="17"/>
    <n v="525"/>
    <n v="255"/>
    <n v="270"/>
    <n v="0.51"/>
  </r>
  <r>
    <n v="3409"/>
    <d v="2026-01-22T00:00:00"/>
    <n v="2026"/>
    <x v="0"/>
    <x v="0"/>
    <x v="4"/>
    <x v="7"/>
    <x v="2"/>
    <s v="Returning"/>
    <x v="0"/>
    <s v="Headphones"/>
    <n v="6"/>
    <n v="80"/>
    <n v="0.05"/>
    <n v="42"/>
    <n v="456"/>
    <n v="252"/>
    <n v="204"/>
    <n v="0.45"/>
  </r>
  <r>
    <n v="3410"/>
    <d v="2026-08-23T00:00:00"/>
    <n v="2026"/>
    <x v="4"/>
    <x v="4"/>
    <x v="5"/>
    <x v="8"/>
    <x v="0"/>
    <s v="New"/>
    <x v="3"/>
    <s v="Laptop Bag"/>
    <n v="9"/>
    <n v="45"/>
    <n v="0.1"/>
    <n v="22"/>
    <n v="364.5"/>
    <n v="198"/>
    <n v="166.5"/>
    <n v="0.46"/>
  </r>
  <r>
    <n v="3411"/>
    <d v="2026-06-24T00:00:00"/>
    <n v="2026"/>
    <x v="5"/>
    <x v="5"/>
    <x v="2"/>
    <x v="9"/>
    <x v="1"/>
    <s v="Corporate"/>
    <x v="1"/>
    <s v="Study Desk"/>
    <n v="11"/>
    <n v="220"/>
    <n v="0.15"/>
    <n v="140"/>
    <n v="2057"/>
    <n v="1540"/>
    <n v="517"/>
    <n v="0.25"/>
  </r>
  <r>
    <n v="3412"/>
    <d v="2026-05-25T00:00:00"/>
    <n v="2026"/>
    <x v="6"/>
    <x v="6"/>
    <x v="0"/>
    <x v="0"/>
    <x v="2"/>
    <s v="Returning"/>
    <x v="0"/>
    <s v="Wireless Mouse"/>
    <n v="4"/>
    <n v="25"/>
    <n v="0"/>
    <n v="12"/>
    <n v="100"/>
    <n v="48"/>
    <n v="52"/>
    <n v="0.52"/>
  </r>
  <r>
    <n v="3413"/>
    <d v="2026-01-26T00:00:00"/>
    <n v="2026"/>
    <x v="0"/>
    <x v="0"/>
    <x v="0"/>
    <x v="1"/>
    <x v="0"/>
    <s v="New"/>
    <x v="1"/>
    <s v="Office Chair"/>
    <n v="7"/>
    <n v="180"/>
    <n v="0.05"/>
    <n v="110"/>
    <n v="1197"/>
    <n v="770"/>
    <n v="427"/>
    <n v="0.36"/>
  </r>
  <r>
    <n v="3414"/>
    <d v="2026-07-27T00:00:00"/>
    <n v="2026"/>
    <x v="7"/>
    <x v="7"/>
    <x v="1"/>
    <x v="2"/>
    <x v="1"/>
    <s v="Corporate"/>
    <x v="2"/>
    <s v="Desk Organizer"/>
    <n v="10"/>
    <n v="20"/>
    <n v="0.1"/>
    <n v="8"/>
    <n v="180"/>
    <n v="80"/>
    <n v="100"/>
    <n v="0.56000000000000005"/>
  </r>
  <r>
    <n v="3415"/>
    <d v="2026-04-28T00:00:00"/>
    <n v="2026"/>
    <x v="8"/>
    <x v="8"/>
    <x v="1"/>
    <x v="3"/>
    <x v="2"/>
    <s v="Returning"/>
    <x v="0"/>
    <s v="Webcam"/>
    <n v="12"/>
    <n v="65"/>
    <n v="0.15"/>
    <n v="34"/>
    <n v="663"/>
    <n v="408"/>
    <n v="255"/>
    <n v="0.38"/>
  </r>
  <r>
    <n v="3416"/>
    <d v="2026-03-29T00:00:00"/>
    <n v="2026"/>
    <x v="9"/>
    <x v="9"/>
    <x v="2"/>
    <x v="4"/>
    <x v="0"/>
    <s v="New"/>
    <x v="2"/>
    <s v="Notebook Pack"/>
    <n v="5"/>
    <n v="15"/>
    <n v="0"/>
    <n v="6.5"/>
    <n v="75"/>
    <n v="32.5"/>
    <n v="42.5"/>
    <n v="0.56999999999999995"/>
  </r>
  <r>
    <n v="3417"/>
    <d v="2026-01-30T00:00:00"/>
    <n v="2026"/>
    <x v="0"/>
    <x v="0"/>
    <x v="2"/>
    <x v="5"/>
    <x v="1"/>
    <s v="Corporate"/>
    <x v="0"/>
    <s v="Keyboard"/>
    <n v="8"/>
    <n v="50"/>
    <n v="0.05"/>
    <n v="26"/>
    <n v="380"/>
    <n v="208"/>
    <n v="172"/>
    <n v="0.45"/>
  </r>
  <r>
    <n v="3418"/>
    <d v="2026-12-31T00:00:00"/>
    <n v="2026"/>
    <x v="10"/>
    <x v="10"/>
    <x v="3"/>
    <x v="6"/>
    <x v="2"/>
    <s v="Returning"/>
    <x v="3"/>
    <s v="USB-C Hub"/>
    <n v="15"/>
    <n v="35"/>
    <n v="0.1"/>
    <n v="17"/>
    <n v="472.5"/>
    <n v="255"/>
    <n v="217.5"/>
    <n v="0.46"/>
  </r>
  <r>
    <n v="3419"/>
    <d v="2026-02-01T00:00:00"/>
    <n v="2026"/>
    <x v="11"/>
    <x v="11"/>
    <x v="4"/>
    <x v="7"/>
    <x v="0"/>
    <s v="New"/>
    <x v="0"/>
    <s v="Headphones"/>
    <n v="6"/>
    <n v="80"/>
    <n v="0.15"/>
    <n v="42"/>
    <n v="408"/>
    <n v="252"/>
    <n v="156"/>
    <n v="0.38"/>
  </r>
  <r>
    <n v="3420"/>
    <d v="2026-02-02T00:00:00"/>
    <n v="2026"/>
    <x v="11"/>
    <x v="11"/>
    <x v="5"/>
    <x v="8"/>
    <x v="1"/>
    <s v="Corporate"/>
    <x v="3"/>
    <s v="Laptop Bag"/>
    <n v="9"/>
    <n v="45"/>
    <n v="0"/>
    <n v="22"/>
    <n v="405"/>
    <n v="198"/>
    <n v="207"/>
    <n v="0.51"/>
  </r>
  <r>
    <n v="3421"/>
    <d v="2026-02-03T00:00:00"/>
    <n v="2026"/>
    <x v="11"/>
    <x v="11"/>
    <x v="2"/>
    <x v="9"/>
    <x v="2"/>
    <s v="Returning"/>
    <x v="1"/>
    <s v="Study Desk"/>
    <n v="11"/>
    <n v="220"/>
    <n v="0.05"/>
    <n v="140"/>
    <n v="2299"/>
    <n v="1540"/>
    <n v="759"/>
    <n v="0.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86F9A8-78F9-4115-848C-6886EDCA3264}"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numFmtId="14"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numFmtId="9" showAll="0"/>
    <pivotField showAll="0"/>
    <pivotField dataField="1" showAll="0"/>
    <pivotField showAll="0"/>
    <pivotField showAll="0"/>
    <pivotField numFmtId="9" showAll="0"/>
  </pivotFields>
  <rowItems count="1">
    <i/>
  </rowItems>
  <colItems count="1">
    <i/>
  </colItems>
  <dataFields count="1">
    <dataField name="Sum of Reven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1B176A-480A-48E7-830F-D8E2FCD264E8}" name="Top 5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9:F15" firstHeaderRow="1" firstDataRow="1" firstDataCol="1"/>
  <pivotFields count="19">
    <pivotField showAll="0"/>
    <pivotField numFmtId="14" showAll="0"/>
    <pivotField showAll="0"/>
    <pivotField showAll="0"/>
    <pivotField showAll="0" nonAutoSortDefault="1"/>
    <pivotField showAll="0"/>
    <pivotField axis="axisRow" showAll="0" measureFilter="1">
      <items count="11">
        <item x="8"/>
        <item x="6"/>
        <item x="1"/>
        <item x="3"/>
        <item x="2"/>
        <item x="4"/>
        <item x="5"/>
        <item x="9"/>
        <item x="7"/>
        <item x="0"/>
        <item t="default"/>
      </items>
    </pivotField>
    <pivotField showAll="0"/>
    <pivotField showAll="0"/>
    <pivotField showAll="0">
      <items count="5">
        <item x="3"/>
        <item x="0"/>
        <item x="1"/>
        <item x="2"/>
        <item t="default"/>
      </items>
    </pivotField>
    <pivotField showAll="0"/>
    <pivotField showAll="0"/>
    <pivotField showAll="0"/>
    <pivotField numFmtId="9" showAll="0"/>
    <pivotField showAll="0"/>
    <pivotField dataField="1" showAll="0"/>
    <pivotField showAll="0"/>
    <pivotField showAll="0"/>
    <pivotField numFmtId="9" showAll="0"/>
  </pivotFields>
  <rowFields count="1">
    <field x="6"/>
  </rowFields>
  <rowItems count="6">
    <i>
      <x v="1"/>
    </i>
    <i>
      <x v="2"/>
    </i>
    <i>
      <x v="3"/>
    </i>
    <i>
      <x v="7"/>
    </i>
    <i>
      <x v="8"/>
    </i>
    <i t="grand">
      <x/>
    </i>
  </rowItems>
  <colItems count="1">
    <i/>
  </colItems>
  <dataFields count="1">
    <dataField name="Total Revenue" fld="15" baseField="4" baseItem="0"/>
  </dataFields>
  <chartFormats count="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E71065-C352-4DE8-81F4-1D1061A8A9B2}" name="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9:I13" firstHeaderRow="1" firstDataRow="1" firstDataCol="1"/>
  <pivotFields count="19">
    <pivotField showAll="0"/>
    <pivotField numFmtId="14" showAll="0"/>
    <pivotField showAll="0"/>
    <pivotField showAll="0"/>
    <pivotField showAll="0" nonAutoSortDefault="1"/>
    <pivotField showAll="0"/>
    <pivotField showAll="0" measureFilter="1">
      <items count="11">
        <item x="8"/>
        <item x="6"/>
        <item x="1"/>
        <item x="3"/>
        <item x="2"/>
        <item x="4"/>
        <item x="5"/>
        <item x="9"/>
        <item x="7"/>
        <item x="0"/>
        <item t="default"/>
      </items>
    </pivotField>
    <pivotField axis="axisRow" showAll="0">
      <items count="4">
        <item x="2"/>
        <item x="0"/>
        <item x="1"/>
        <item t="default"/>
      </items>
    </pivotField>
    <pivotField showAll="0"/>
    <pivotField showAll="0">
      <items count="5">
        <item x="3"/>
        <item x="0"/>
        <item x="1"/>
        <item x="2"/>
        <item t="default"/>
      </items>
    </pivotField>
    <pivotField showAll="0"/>
    <pivotField showAll="0"/>
    <pivotField showAll="0"/>
    <pivotField numFmtId="9" showAll="0"/>
    <pivotField showAll="0"/>
    <pivotField dataField="1" showAll="0"/>
    <pivotField showAll="0"/>
    <pivotField showAll="0"/>
    <pivotField numFmtId="9" showAll="0"/>
  </pivotFields>
  <rowFields count="1">
    <field x="7"/>
  </rowFields>
  <rowItems count="4">
    <i>
      <x/>
    </i>
    <i>
      <x v="1"/>
    </i>
    <i>
      <x v="2"/>
    </i>
    <i t="grand">
      <x/>
    </i>
  </rowItems>
  <colItems count="1">
    <i/>
  </colItems>
  <dataFields count="1">
    <dataField name="Total Revenue" fld="15" baseField="4" baseItem="0"/>
  </dataFields>
  <chartFormats count="11">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FA6C6F-6B0F-41AF-BBC6-4C5587937742}" name="Region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9:L16" firstHeaderRow="1" firstDataRow="1" firstDataCol="1"/>
  <pivotFields count="19">
    <pivotField showAll="0"/>
    <pivotField numFmtId="14" showAll="0"/>
    <pivotField showAll="0"/>
    <pivotField showAll="0"/>
    <pivotField showAll="0" nonAutoSortDefault="1"/>
    <pivotField axis="axisRow" showAll="0">
      <items count="7">
        <item x="4"/>
        <item x="2"/>
        <item x="1"/>
        <item x="0"/>
        <item x="5"/>
        <item x="3"/>
        <item t="default"/>
      </items>
    </pivotField>
    <pivotField showAll="0" measureFilter="1">
      <items count="11">
        <item x="8"/>
        <item x="6"/>
        <item x="1"/>
        <item x="3"/>
        <item x="2"/>
        <item x="4"/>
        <item x="5"/>
        <item x="9"/>
        <item x="7"/>
        <item x="0"/>
        <item t="default"/>
      </items>
    </pivotField>
    <pivotField showAll="0"/>
    <pivotField showAll="0"/>
    <pivotField showAll="0">
      <items count="5">
        <item x="3"/>
        <item x="0"/>
        <item x="1"/>
        <item x="2"/>
        <item t="default"/>
      </items>
    </pivotField>
    <pivotField showAll="0"/>
    <pivotField showAll="0"/>
    <pivotField showAll="0"/>
    <pivotField numFmtId="9" showAll="0"/>
    <pivotField showAll="0"/>
    <pivotField dataField="1" showAll="0"/>
    <pivotField showAll="0"/>
    <pivotField showAll="0"/>
    <pivotField numFmtId="9" showAll="0"/>
  </pivotFields>
  <rowFields count="1">
    <field x="5"/>
  </rowFields>
  <rowItems count="7">
    <i>
      <x/>
    </i>
    <i>
      <x v="1"/>
    </i>
    <i>
      <x v="2"/>
    </i>
    <i>
      <x v="3"/>
    </i>
    <i>
      <x v="4"/>
    </i>
    <i>
      <x v="5"/>
    </i>
    <i t="grand">
      <x/>
    </i>
  </rowItems>
  <colItems count="1">
    <i/>
  </colItems>
  <dataFields count="1">
    <dataField name="Total Revenue" fld="15" baseField="4" baseItem="0"/>
  </dataFields>
  <chartFormats count="20">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5" count="1" selected="0">
            <x v="0"/>
          </reference>
        </references>
      </pivotArea>
    </chartFormat>
    <chartFormat chart="13" format="3">
      <pivotArea type="data" outline="0" fieldPosition="0">
        <references count="2">
          <reference field="4294967294" count="1" selected="0">
            <x v="0"/>
          </reference>
          <reference field="5" count="1" selected="0">
            <x v="1"/>
          </reference>
        </references>
      </pivotArea>
    </chartFormat>
    <chartFormat chart="13" format="4">
      <pivotArea type="data" outline="0" fieldPosition="0">
        <references count="2">
          <reference field="4294967294" count="1" selected="0">
            <x v="0"/>
          </reference>
          <reference field="5" count="1" selected="0">
            <x v="2"/>
          </reference>
        </references>
      </pivotArea>
    </chartFormat>
    <chartFormat chart="13" format="5">
      <pivotArea type="data" outline="0" fieldPosition="0">
        <references count="2">
          <reference field="4294967294" count="1" selected="0">
            <x v="0"/>
          </reference>
          <reference field="5" count="1" selected="0">
            <x v="3"/>
          </reference>
        </references>
      </pivotArea>
    </chartFormat>
    <chartFormat chart="13" format="6">
      <pivotArea type="data" outline="0" fieldPosition="0">
        <references count="2">
          <reference field="4294967294" count="1" selected="0">
            <x v="0"/>
          </reference>
          <reference field="5" count="1" selected="0">
            <x v="4"/>
          </reference>
        </references>
      </pivotArea>
    </chartFormat>
    <chartFormat chart="13" format="7">
      <pivotArea type="data" outline="0" fieldPosition="0">
        <references count="2">
          <reference field="4294967294" count="1" selected="0">
            <x v="0"/>
          </reference>
          <reference field="5" count="1" selected="0">
            <x v="5"/>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5" count="1" selected="0">
            <x v="0"/>
          </reference>
        </references>
      </pivotArea>
    </chartFormat>
    <chartFormat chart="14" format="10">
      <pivotArea type="data" outline="0" fieldPosition="0">
        <references count="2">
          <reference field="4294967294" count="1" selected="0">
            <x v="0"/>
          </reference>
          <reference field="5" count="1" selected="0">
            <x v="1"/>
          </reference>
        </references>
      </pivotArea>
    </chartFormat>
    <chartFormat chart="14" format="11">
      <pivotArea type="data" outline="0" fieldPosition="0">
        <references count="2">
          <reference field="4294967294" count="1" selected="0">
            <x v="0"/>
          </reference>
          <reference field="5" count="1" selected="0">
            <x v="2"/>
          </reference>
        </references>
      </pivotArea>
    </chartFormat>
    <chartFormat chart="14" format="12">
      <pivotArea type="data" outline="0" fieldPosition="0">
        <references count="2">
          <reference field="4294967294" count="1" selected="0">
            <x v="0"/>
          </reference>
          <reference field="5" count="1" selected="0">
            <x v="3"/>
          </reference>
        </references>
      </pivotArea>
    </chartFormat>
    <chartFormat chart="14" format="13">
      <pivotArea type="data" outline="0" fieldPosition="0">
        <references count="2">
          <reference field="4294967294" count="1" selected="0">
            <x v="0"/>
          </reference>
          <reference field="5" count="1" selected="0">
            <x v="4"/>
          </reference>
        </references>
      </pivotArea>
    </chartFormat>
    <chartFormat chart="14"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13FB87-E06C-44F9-84AC-2EAD186A0B8A}"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9">
    <pivotField showAll="0"/>
    <pivotField numFmtId="14"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numFmtId="9" showAll="0"/>
    <pivotField showAll="0"/>
    <pivotField showAll="0"/>
    <pivotField dataField="1" showAll="0"/>
    <pivotField showAll="0"/>
    <pivotField numFmtId="9" showAll="0"/>
  </pivotFields>
  <rowItems count="1">
    <i/>
  </rowItems>
  <colItems count="1">
    <i/>
  </colItems>
  <dataFields count="1">
    <dataField name="Sum of COG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991AF8-8E0D-4135-868E-9BB9EC6DB5DD}" name="Monthly,profit,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C22" firstHeaderRow="0" firstDataRow="1" firstDataCol="1"/>
  <pivotFields count="19">
    <pivotField showAll="0"/>
    <pivotField numFmtId="14" showAll="0"/>
    <pivotField showAll="0"/>
    <pivotField showAll="0">
      <items count="13">
        <item x="0"/>
        <item x="11"/>
        <item x="9"/>
        <item x="8"/>
        <item x="6"/>
        <item x="5"/>
        <item x="7"/>
        <item x="4"/>
        <item x="3"/>
        <item x="2"/>
        <item x="1"/>
        <item x="10"/>
        <item t="default"/>
      </items>
    </pivotField>
    <pivotField axis="axisRow" showAll="0" nonAutoSortDefault="1">
      <items count="13">
        <item x="0"/>
        <item x="11"/>
        <item x="9"/>
        <item x="8"/>
        <item x="6"/>
        <item x="5"/>
        <item x="7"/>
        <item x="4"/>
        <item x="3"/>
        <item x="2"/>
        <item x="1"/>
        <item x="10"/>
        <item t="default"/>
      </items>
    </pivotField>
    <pivotField showAll="0"/>
    <pivotField showAll="0">
      <items count="11">
        <item x="8"/>
        <item x="6"/>
        <item x="1"/>
        <item x="3"/>
        <item x="2"/>
        <item x="4"/>
        <item x="5"/>
        <item x="9"/>
        <item x="7"/>
        <item x="0"/>
        <item t="default"/>
      </items>
    </pivotField>
    <pivotField showAll="0"/>
    <pivotField showAll="0"/>
    <pivotField showAll="0">
      <items count="5">
        <item x="3"/>
        <item x="0"/>
        <item x="1"/>
        <item x="2"/>
        <item t="default"/>
      </items>
    </pivotField>
    <pivotField showAll="0"/>
    <pivotField showAll="0"/>
    <pivotField showAll="0"/>
    <pivotField numFmtId="9" showAll="0"/>
    <pivotField showAll="0"/>
    <pivotField dataField="1" showAll="0"/>
    <pivotField showAll="0"/>
    <pivotField dataField="1" showAll="0"/>
    <pivotField numFmtId="9"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5" baseField="4" baseItem="0"/>
    <dataField name="Total Gross Profit" fld="17" baseField="4"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154FA0-7DD6-4356-A655-299C489D1BBA}"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9">
    <pivotField showAll="0"/>
    <pivotField numFmtId="14"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numFmtId="9" showAll="0"/>
    <pivotField showAll="0"/>
    <pivotField showAll="0"/>
    <pivotField showAll="0"/>
    <pivotField dataField="1" showAll="0"/>
    <pivotField numFmtId="9" showAll="0"/>
  </pivotFields>
  <rowItems count="1">
    <i/>
  </rowItems>
  <colItems count="1">
    <i/>
  </colItems>
  <dataFields count="1">
    <dataField name="Sum of Gross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FC971F-B821-4E7D-9EF9-F7396ECAE332}"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9">
    <pivotField dataField="1" showAll="0"/>
    <pivotField numFmtId="14"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numFmtId="9" showAll="0"/>
    <pivotField showAll="0"/>
    <pivotField showAll="0"/>
    <pivotField showAll="0"/>
    <pivotField showAll="0"/>
    <pivotField numFmtId="9"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EF1A54-0EC8-41B0-B756-06B1B2E32237}" name="Total_unit_cos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19">
    <pivotField showAll="0"/>
    <pivotField numFmtId="14"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numFmtId="9" showAll="0"/>
    <pivotField dataField="1" showAll="0"/>
    <pivotField showAll="0"/>
    <pivotField showAll="0"/>
    <pivotField showAll="0"/>
    <pivotField numFmtId="9" showAll="0"/>
  </pivotFields>
  <rowItems count="1">
    <i/>
  </rowItems>
  <colItems count="1">
    <i/>
  </colItems>
  <dataFields count="1">
    <dataField name="Sum of Unit Cos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016928-B0AB-4532-AC17-7D6C7DF3311F}" name="country wise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9:O20" firstHeaderRow="1" firstDataRow="1" firstDataCol="1"/>
  <pivotFields count="19">
    <pivotField showAll="0"/>
    <pivotField numFmtId="14" showAll="0"/>
    <pivotField showAll="0"/>
    <pivotField showAll="0"/>
    <pivotField showAll="0" nonAutoSortDefault="1"/>
    <pivotField showAll="0"/>
    <pivotField axis="axisRow" showAll="0">
      <items count="11">
        <item x="8"/>
        <item x="6"/>
        <item x="1"/>
        <item x="3"/>
        <item x="2"/>
        <item x="4"/>
        <item x="5"/>
        <item x="9"/>
        <item x="7"/>
        <item x="0"/>
        <item t="default"/>
      </items>
    </pivotField>
    <pivotField showAll="0"/>
    <pivotField showAll="0"/>
    <pivotField showAll="0">
      <items count="5">
        <item x="3"/>
        <item x="0"/>
        <item x="1"/>
        <item x="2"/>
        <item t="default"/>
      </items>
    </pivotField>
    <pivotField showAll="0"/>
    <pivotField showAll="0"/>
    <pivotField showAll="0"/>
    <pivotField numFmtId="9" showAll="0"/>
    <pivotField showAll="0"/>
    <pivotField dataField="1" showAll="0"/>
    <pivotField showAll="0"/>
    <pivotField showAll="0"/>
    <pivotField numFmtId="9" showAll="0"/>
  </pivotFields>
  <rowFields count="1">
    <field x="6"/>
  </rowFields>
  <rowItems count="11">
    <i>
      <x/>
    </i>
    <i>
      <x v="1"/>
    </i>
    <i>
      <x v="2"/>
    </i>
    <i>
      <x v="3"/>
    </i>
    <i>
      <x v="4"/>
    </i>
    <i>
      <x v="5"/>
    </i>
    <i>
      <x v="6"/>
    </i>
    <i>
      <x v="7"/>
    </i>
    <i>
      <x v="8"/>
    </i>
    <i>
      <x v="9"/>
    </i>
    <i t="grand">
      <x/>
    </i>
  </rowItems>
  <colItems count="1">
    <i/>
  </colItems>
  <dataFields count="1">
    <dataField name="Total Revenue" fld="15" baseField="4" baseItem="0"/>
  </dataFields>
  <chartFormats count="8">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27BD2E1-F230-4F26-BAD3-7A9FCC1B9D3B}" sourceName="Product Category">
  <pivotTables>
    <pivotTable tabId="3" name="Top 5 country"/>
    <pivotTable tabId="3" name="COGS"/>
    <pivotTable tabId="3" name="country wise chart"/>
    <pivotTable tabId="3" name="Gross_profit"/>
    <pivotTable tabId="3" name="Monthly,profit,revenue"/>
    <pivotTable tabId="3" name="Regionwise"/>
    <pivotTable tabId="3" name="Sales channel"/>
    <pivotTable tabId="3" name="Total_Orders"/>
    <pivotTable tabId="3" name="total_Revenue"/>
    <pivotTable tabId="3" name="Total_unit_cost"/>
  </pivotTables>
  <data>
    <tabular pivotCacheId="1027679937">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5670AC7-D599-4325-BF63-81D8C7904443}" sourceName="Country">
  <pivotTables>
    <pivotTable tabId="3" name="Monthly,profit,revenue"/>
  </pivotTables>
  <data>
    <tabular pivotCacheId="1027679937">
      <items count="10">
        <i x="8" s="1"/>
        <i x="6" s="1"/>
        <i x="1" s="1"/>
        <i x="3" s="1"/>
        <i x="2" s="1"/>
        <i x="4" s="1"/>
        <i x="5" s="1"/>
        <i x="9" s="1"/>
        <i x="7"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2DE783D-1EE7-4C3A-8AAE-D709FE8C5488}" cache="Slicer_Product_Category" caption="Product Category" rowHeight="234950"/>
  <slicer name="Country" xr10:uid="{25E5F90D-0A1E-48FC-9B11-CE1E965AFBCB}"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BD551D-0252-460D-AF68-288D3AB06865}" name="Table1" displayName="Table1" ref="A1:S31" totalsRowShown="0" headerRowDxfId="20" dataDxfId="19">
  <autoFilter ref="A1:S31" xr:uid="{2ABD551D-0252-460D-AF68-288D3AB06865}"/>
  <tableColumns count="19">
    <tableColumn id="1" xr3:uid="{2145C261-A4AE-403A-9028-C845E6DA6582}" name="ID" dataDxfId="18"/>
    <tableColumn id="2" xr3:uid="{E6321618-99F1-4A4F-B0C1-783E55807CB6}" name="Order Date" dataDxfId="17"/>
    <tableColumn id="3" xr3:uid="{7A2B6C1B-598D-4C17-94C5-154A7FF76CD9}" name="year" dataDxfId="16">
      <calculatedColumnFormula>YEAR(B2)</calculatedColumnFormula>
    </tableColumn>
    <tableColumn id="4" xr3:uid="{C8D3696C-DB0D-4DD2-A37C-EE291E6D9DD3}" name=" month no" dataDxfId="15">
      <calculatedColumnFormula>MONTH(B2)</calculatedColumnFormula>
    </tableColumn>
    <tableColumn id="5" xr3:uid="{03A3D826-0AB2-41BC-A4DF-9F6E756D50E1}" name="month" dataDxfId="14">
      <calculatedColumnFormula>TEXT(B2,"MMM")</calculatedColumnFormula>
    </tableColumn>
    <tableColumn id="6" xr3:uid="{0696D4B4-24CC-4230-83DC-7AD43AD9ACE0}" name="Region" dataDxfId="13"/>
    <tableColumn id="7" xr3:uid="{6F9AF19C-2AA3-4816-A045-2FC00A221B1E}" name="Country" dataDxfId="12"/>
    <tableColumn id="8" xr3:uid="{5F0682D7-757D-44E1-B20D-7251B3D046C4}" name="Sales Channel" dataDxfId="11"/>
    <tableColumn id="9" xr3:uid="{555F3FFB-3A7F-4388-81A6-4046544D34C2}" name="Customer Type" dataDxfId="10"/>
    <tableColumn id="10" xr3:uid="{715F0951-7107-460A-93CA-EDAD88466EE9}" name="Product Category" dataDxfId="9"/>
    <tableColumn id="11" xr3:uid="{DBC9675E-0C67-4D9D-814B-1F5699E49336}" name="Product" dataDxfId="8"/>
    <tableColumn id="12" xr3:uid="{CDCB7722-CB4D-4A95-A6F6-E98ED1DBE7E7}" name="Units Sold" dataDxfId="7"/>
    <tableColumn id="13" xr3:uid="{96AE312C-3F75-4E72-A38E-468B42C9CD39}" name="Unit Price" dataDxfId="6"/>
    <tableColumn id="14" xr3:uid="{FD41380C-BC5B-4D5E-9877-C0D7A48024F2}" name="Discount" dataDxfId="5"/>
    <tableColumn id="15" xr3:uid="{040644DA-102C-4890-92AF-9D15463246D1}" name="Unit Cost" dataDxfId="4"/>
    <tableColumn id="16" xr3:uid="{889BE432-E0A8-4332-B282-6BEEFE985A15}" name="Revenue" dataDxfId="3"/>
    <tableColumn id="17" xr3:uid="{48DC96E6-EC34-444F-9BD9-B5239F9C81C7}" name="COGS" dataDxfId="2"/>
    <tableColumn id="18" xr3:uid="{716A2002-C6C0-4378-B44F-21AD3ADE7F15}" name="Gross Profit" dataDxfId="1"/>
    <tableColumn id="19" xr3:uid="{80F23EFE-3010-4F20-B072-489F3600A104}" name="Gross Margin"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11B85-358B-4122-BF23-F95244DB726C}">
  <dimension ref="A3:R25"/>
  <sheetViews>
    <sheetView tabSelected="1" workbookViewId="0">
      <selection activeCell="G4" sqref="G4"/>
    </sheetView>
  </sheetViews>
  <sheetFormatPr defaultRowHeight="14.4" x14ac:dyDescent="0.3"/>
  <cols>
    <col min="1" max="1" width="15.21875" customWidth="1"/>
    <col min="2" max="2" width="13.109375" bestFit="1" customWidth="1"/>
    <col min="3" max="3" width="17.6640625" customWidth="1"/>
    <col min="4" max="4" width="17.33203125" bestFit="1" customWidth="1"/>
    <col min="5" max="5" width="19.44140625" customWidth="1"/>
    <col min="6" max="6" width="13.109375" bestFit="1" customWidth="1"/>
    <col min="7" max="7" width="16.33203125" customWidth="1"/>
    <col min="8" max="8" width="12.5546875" bestFit="1" customWidth="1"/>
    <col min="9" max="9" width="10.5546875" bestFit="1" customWidth="1"/>
    <col min="11" max="11" width="12.88671875" bestFit="1" customWidth="1"/>
    <col min="12" max="12" width="13.109375" bestFit="1" customWidth="1"/>
    <col min="14" max="14" width="12.5546875" bestFit="1" customWidth="1"/>
    <col min="15" max="15" width="13.109375" bestFit="1" customWidth="1"/>
    <col min="17" max="17" width="12.21875" customWidth="1"/>
    <col min="18" max="18" width="12.44140625" customWidth="1"/>
  </cols>
  <sheetData>
    <row r="3" spans="1:18" x14ac:dyDescent="0.3">
      <c r="A3" t="s">
        <v>54</v>
      </c>
      <c r="C3" t="s">
        <v>55</v>
      </c>
      <c r="E3" s="9" t="s">
        <v>76</v>
      </c>
      <c r="G3" t="s">
        <v>56</v>
      </c>
      <c r="I3" t="s">
        <v>57</v>
      </c>
      <c r="K3" t="s">
        <v>58</v>
      </c>
    </row>
    <row r="4" spans="1:18" x14ac:dyDescent="0.3">
      <c r="A4">
        <v>18271</v>
      </c>
      <c r="C4">
        <v>6896.5</v>
      </c>
      <c r="E4" s="10">
        <v>0.3775</v>
      </c>
      <c r="G4">
        <v>1252.5</v>
      </c>
      <c r="I4">
        <v>30</v>
      </c>
      <c r="K4">
        <v>11374.5</v>
      </c>
    </row>
    <row r="9" spans="1:18" x14ac:dyDescent="0.3">
      <c r="A9" s="3" t="s">
        <v>60</v>
      </c>
      <c r="B9" t="s">
        <v>74</v>
      </c>
      <c r="C9" t="s">
        <v>75</v>
      </c>
      <c r="E9" s="3" t="s">
        <v>60</v>
      </c>
      <c r="F9" t="s">
        <v>74</v>
      </c>
      <c r="H9" s="3" t="s">
        <v>60</v>
      </c>
      <c r="I9" t="s">
        <v>74</v>
      </c>
      <c r="K9" s="3" t="s">
        <v>60</v>
      </c>
      <c r="L9" t="s">
        <v>74</v>
      </c>
      <c r="N9" s="3" t="s">
        <v>60</v>
      </c>
      <c r="O9" t="s">
        <v>74</v>
      </c>
      <c r="Q9" t="str">
        <f>N9</f>
        <v>Row Labels</v>
      </c>
      <c r="R9" t="str">
        <f>O9</f>
        <v>Total Revenue</v>
      </c>
    </row>
    <row r="10" spans="1:18" x14ac:dyDescent="0.3">
      <c r="A10" s="4" t="s">
        <v>61</v>
      </c>
      <c r="B10">
        <v>10238.5</v>
      </c>
      <c r="C10">
        <v>3936</v>
      </c>
      <c r="E10" s="4" t="s">
        <v>26</v>
      </c>
      <c r="F10">
        <v>1470</v>
      </c>
      <c r="H10" s="4" t="s">
        <v>41</v>
      </c>
      <c r="I10">
        <v>6094</v>
      </c>
      <c r="K10" s="4" t="s">
        <v>27</v>
      </c>
      <c r="L10">
        <v>1272</v>
      </c>
      <c r="N10" s="4" t="s">
        <v>31</v>
      </c>
      <c r="O10">
        <v>1174.5</v>
      </c>
      <c r="Q10" t="str">
        <f t="shared" ref="Q10:Q20" si="0">N10</f>
        <v>Australia</v>
      </c>
      <c r="R10">
        <f t="shared" ref="R10:R20" si="1">O10</f>
        <v>1174.5</v>
      </c>
    </row>
    <row r="11" spans="1:18" x14ac:dyDescent="0.3">
      <c r="A11" s="4" t="s">
        <v>62</v>
      </c>
      <c r="B11">
        <v>3112</v>
      </c>
      <c r="C11">
        <v>1122</v>
      </c>
      <c r="E11" s="4" t="s">
        <v>36</v>
      </c>
      <c r="F11">
        <v>3465</v>
      </c>
      <c r="H11" s="4" t="s">
        <v>17</v>
      </c>
      <c r="I11">
        <v>6119</v>
      </c>
      <c r="K11" s="4" t="s">
        <v>21</v>
      </c>
      <c r="L11">
        <v>7972.5</v>
      </c>
      <c r="N11" s="4" t="s">
        <v>26</v>
      </c>
      <c r="O11">
        <v>1470</v>
      </c>
      <c r="Q11" t="str">
        <f t="shared" si="0"/>
        <v>Brazil</v>
      </c>
      <c r="R11">
        <f t="shared" si="1"/>
        <v>1470</v>
      </c>
    </row>
    <row r="12" spans="1:18" x14ac:dyDescent="0.3">
      <c r="A12" s="4" t="s">
        <v>72</v>
      </c>
      <c r="B12">
        <v>75</v>
      </c>
      <c r="C12">
        <v>42.5</v>
      </c>
      <c r="E12" s="4" t="s">
        <v>16</v>
      </c>
      <c r="F12">
        <v>2067</v>
      </c>
      <c r="H12" s="4" t="s">
        <v>37</v>
      </c>
      <c r="I12">
        <v>6058</v>
      </c>
      <c r="K12" s="4" t="s">
        <v>15</v>
      </c>
      <c r="L12">
        <v>2627</v>
      </c>
      <c r="N12" s="4" t="s">
        <v>36</v>
      </c>
      <c r="O12">
        <v>3465</v>
      </c>
      <c r="Q12" t="str">
        <f t="shared" si="0"/>
        <v>Canada</v>
      </c>
      <c r="R12">
        <f t="shared" si="1"/>
        <v>3465</v>
      </c>
    </row>
    <row r="13" spans="1:18" x14ac:dyDescent="0.3">
      <c r="A13" s="4" t="s">
        <v>71</v>
      </c>
      <c r="B13">
        <v>663</v>
      </c>
      <c r="C13">
        <v>255</v>
      </c>
      <c r="E13" s="4" t="s">
        <v>50</v>
      </c>
      <c r="F13">
        <v>6655</v>
      </c>
      <c r="H13" s="4" t="s">
        <v>63</v>
      </c>
      <c r="I13">
        <v>18271</v>
      </c>
      <c r="K13" s="4" t="s">
        <v>24</v>
      </c>
      <c r="L13">
        <v>3755</v>
      </c>
      <c r="N13" s="4" t="s">
        <v>16</v>
      </c>
      <c r="O13">
        <v>2067</v>
      </c>
      <c r="Q13" t="str">
        <f t="shared" si="0"/>
        <v>France</v>
      </c>
      <c r="R13">
        <f t="shared" si="1"/>
        <v>2067</v>
      </c>
    </row>
    <row r="14" spans="1:18" x14ac:dyDescent="0.3">
      <c r="A14" s="4" t="s">
        <v>64</v>
      </c>
      <c r="B14">
        <v>100</v>
      </c>
      <c r="C14">
        <v>52</v>
      </c>
      <c r="E14" s="4" t="s">
        <v>28</v>
      </c>
      <c r="F14">
        <v>1272</v>
      </c>
      <c r="K14" s="4" t="s">
        <v>30</v>
      </c>
      <c r="L14">
        <v>1174.5</v>
      </c>
      <c r="N14" s="4" t="s">
        <v>32</v>
      </c>
      <c r="O14">
        <v>560</v>
      </c>
      <c r="Q14" t="str">
        <f t="shared" si="0"/>
        <v>Germany</v>
      </c>
      <c r="R14">
        <f t="shared" si="1"/>
        <v>560</v>
      </c>
    </row>
    <row r="15" spans="1:18" x14ac:dyDescent="0.3">
      <c r="A15" s="4" t="s">
        <v>65</v>
      </c>
      <c r="B15">
        <v>2057</v>
      </c>
      <c r="C15">
        <v>517</v>
      </c>
      <c r="E15" s="4" t="s">
        <v>63</v>
      </c>
      <c r="F15">
        <v>14929</v>
      </c>
      <c r="K15" s="4" t="s">
        <v>25</v>
      </c>
      <c r="L15">
        <v>1470</v>
      </c>
      <c r="N15" s="4" t="s">
        <v>45</v>
      </c>
      <c r="O15">
        <v>217.5</v>
      </c>
      <c r="Q15" t="str">
        <f t="shared" si="0"/>
        <v>India</v>
      </c>
      <c r="R15">
        <f t="shared" si="1"/>
        <v>217.5</v>
      </c>
    </row>
    <row r="16" spans="1:18" x14ac:dyDescent="0.3">
      <c r="A16" s="4" t="s">
        <v>70</v>
      </c>
      <c r="B16">
        <v>180</v>
      </c>
      <c r="C16">
        <v>100</v>
      </c>
      <c r="K16" s="4" t="s">
        <v>63</v>
      </c>
      <c r="L16">
        <v>18271</v>
      </c>
      <c r="N16" s="4" t="s">
        <v>22</v>
      </c>
      <c r="O16">
        <v>1100</v>
      </c>
      <c r="Q16" t="str">
        <f t="shared" si="0"/>
        <v>Japan</v>
      </c>
      <c r="R16">
        <f t="shared" si="1"/>
        <v>1100</v>
      </c>
    </row>
    <row r="17" spans="1:18" x14ac:dyDescent="0.3">
      <c r="A17" s="4" t="s">
        <v>66</v>
      </c>
      <c r="B17">
        <v>364.5</v>
      </c>
      <c r="C17">
        <v>166.5</v>
      </c>
      <c r="N17" s="4" t="s">
        <v>50</v>
      </c>
      <c r="O17">
        <v>6655</v>
      </c>
      <c r="Q17" t="str">
        <f t="shared" si="0"/>
        <v>Singapore</v>
      </c>
      <c r="R17">
        <f t="shared" si="1"/>
        <v>6655</v>
      </c>
    </row>
    <row r="18" spans="1:18" x14ac:dyDescent="0.3">
      <c r="A18" s="4" t="s">
        <v>69</v>
      </c>
      <c r="B18">
        <v>67.5</v>
      </c>
      <c r="C18">
        <v>35</v>
      </c>
      <c r="N18" s="4" t="s">
        <v>28</v>
      </c>
      <c r="O18">
        <v>1272</v>
      </c>
      <c r="Q18" t="str">
        <f t="shared" si="0"/>
        <v>South Africa</v>
      </c>
      <c r="R18">
        <f t="shared" si="1"/>
        <v>1272</v>
      </c>
    </row>
    <row r="19" spans="1:18" x14ac:dyDescent="0.3">
      <c r="A19" s="4" t="s">
        <v>68</v>
      </c>
      <c r="B19">
        <v>741</v>
      </c>
      <c r="C19">
        <v>333</v>
      </c>
      <c r="N19" s="4" t="s">
        <v>34</v>
      </c>
      <c r="O19">
        <v>290</v>
      </c>
      <c r="Q19" t="str">
        <f t="shared" si="0"/>
        <v>United States</v>
      </c>
      <c r="R19">
        <f t="shared" si="1"/>
        <v>290</v>
      </c>
    </row>
    <row r="20" spans="1:18" x14ac:dyDescent="0.3">
      <c r="A20" s="4" t="s">
        <v>67</v>
      </c>
      <c r="B20">
        <v>200</v>
      </c>
      <c r="C20">
        <v>120</v>
      </c>
      <c r="N20" s="4" t="s">
        <v>63</v>
      </c>
      <c r="O20">
        <v>18271</v>
      </c>
      <c r="Q20" t="str">
        <f t="shared" si="0"/>
        <v>Grand Total</v>
      </c>
      <c r="R20">
        <f t="shared" si="1"/>
        <v>18271</v>
      </c>
    </row>
    <row r="21" spans="1:18" x14ac:dyDescent="0.3">
      <c r="A21" s="4" t="s">
        <v>73</v>
      </c>
      <c r="B21">
        <v>472.5</v>
      </c>
      <c r="C21">
        <v>217.5</v>
      </c>
    </row>
    <row r="22" spans="1:18" x14ac:dyDescent="0.3">
      <c r="A22" s="4" t="s">
        <v>63</v>
      </c>
      <c r="B22">
        <v>18271</v>
      </c>
      <c r="C22">
        <v>6896.5</v>
      </c>
    </row>
    <row r="25" spans="1:18" x14ac:dyDescent="0.3">
      <c r="B25" s="10"/>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D4BAC-105A-4C9C-95D6-99CE76C42BCC}">
  <dimension ref="A1:W37"/>
  <sheetViews>
    <sheetView showGridLines="0" workbookViewId="0">
      <selection activeCell="T4" sqref="T4"/>
    </sheetView>
  </sheetViews>
  <sheetFormatPr defaultRowHeight="14.4" x14ac:dyDescent="0.3"/>
  <sheetData>
    <row r="1" spans="1:23" x14ac:dyDescent="0.3">
      <c r="A1" s="2"/>
      <c r="B1" s="2"/>
      <c r="C1" s="2"/>
      <c r="D1" s="2"/>
      <c r="E1" s="2"/>
      <c r="F1" s="2"/>
      <c r="G1" s="2"/>
      <c r="H1" s="2"/>
      <c r="I1" s="2"/>
      <c r="J1" s="2"/>
      <c r="K1" s="2"/>
      <c r="L1" s="2"/>
      <c r="M1" s="2"/>
      <c r="N1" s="2"/>
      <c r="O1" s="2"/>
      <c r="P1" s="2"/>
      <c r="Q1" s="2"/>
      <c r="R1" s="2"/>
      <c r="S1" s="2"/>
      <c r="T1" s="2"/>
      <c r="U1" s="2"/>
      <c r="V1" s="2"/>
      <c r="W1" s="2"/>
    </row>
    <row r="2" spans="1:23" x14ac:dyDescent="0.3">
      <c r="A2" s="2"/>
      <c r="B2" s="2"/>
      <c r="C2" s="2"/>
      <c r="D2" s="2"/>
      <c r="E2" s="2"/>
      <c r="F2" s="2"/>
      <c r="G2" s="2"/>
      <c r="H2" s="2"/>
      <c r="I2" s="2"/>
      <c r="J2" s="2"/>
      <c r="K2" s="2"/>
      <c r="L2" s="2"/>
      <c r="M2" s="2"/>
      <c r="N2" s="2"/>
      <c r="O2" s="2"/>
      <c r="P2" s="2"/>
      <c r="Q2" s="2"/>
      <c r="R2" s="2"/>
      <c r="S2" s="2"/>
      <c r="T2" s="2"/>
      <c r="U2" s="2"/>
      <c r="V2" s="2"/>
      <c r="W2" s="2"/>
    </row>
    <row r="3" spans="1:23" x14ac:dyDescent="0.3">
      <c r="A3" s="2"/>
      <c r="B3" s="2"/>
      <c r="C3" s="2"/>
      <c r="D3" s="2"/>
      <c r="E3" s="2"/>
      <c r="F3" s="2"/>
      <c r="G3" s="2"/>
      <c r="H3" s="2"/>
      <c r="I3" s="2"/>
      <c r="J3" s="2"/>
      <c r="K3" s="2"/>
      <c r="L3" s="2"/>
      <c r="M3" s="2"/>
      <c r="N3" s="2"/>
      <c r="O3" s="2"/>
      <c r="P3" s="2"/>
      <c r="Q3" s="2"/>
      <c r="R3" s="2"/>
      <c r="S3" s="2"/>
      <c r="T3" s="2"/>
      <c r="U3" s="2"/>
      <c r="V3" s="2"/>
      <c r="W3" s="2"/>
    </row>
    <row r="4" spans="1:23" x14ac:dyDescent="0.3">
      <c r="A4" s="2"/>
      <c r="B4" s="2"/>
      <c r="C4" s="2"/>
      <c r="D4" s="2"/>
      <c r="E4" s="2"/>
      <c r="F4" s="2"/>
      <c r="G4" s="2"/>
      <c r="H4" s="2"/>
      <c r="I4" s="2"/>
      <c r="J4" s="2"/>
      <c r="K4" s="2"/>
      <c r="L4" s="2"/>
      <c r="M4" s="2"/>
      <c r="N4" s="2"/>
      <c r="O4" s="2"/>
      <c r="P4" s="2"/>
      <c r="Q4" s="2"/>
      <c r="R4" s="2"/>
      <c r="S4" s="2"/>
      <c r="T4" s="2"/>
      <c r="U4" s="2"/>
      <c r="V4" s="2"/>
      <c r="W4" s="2"/>
    </row>
    <row r="5" spans="1:23" x14ac:dyDescent="0.3">
      <c r="A5" s="2"/>
      <c r="B5" s="2"/>
      <c r="C5" s="2"/>
      <c r="D5" s="2"/>
      <c r="E5" s="2"/>
      <c r="F5" s="2"/>
      <c r="G5" s="2"/>
      <c r="H5" s="2"/>
      <c r="I5" s="2"/>
      <c r="J5" s="2"/>
      <c r="K5" s="2"/>
      <c r="L5" s="2"/>
      <c r="M5" s="2"/>
      <c r="N5" s="2"/>
      <c r="O5" s="2"/>
      <c r="P5" s="2"/>
      <c r="Q5" s="2"/>
      <c r="R5" s="2"/>
      <c r="S5" s="2"/>
      <c r="T5" s="2"/>
      <c r="U5" s="2"/>
      <c r="V5" s="2"/>
      <c r="W5" s="2"/>
    </row>
    <row r="6" spans="1:23" x14ac:dyDescent="0.3">
      <c r="A6" s="2"/>
      <c r="B6" s="2"/>
      <c r="C6" s="2"/>
      <c r="D6" s="2"/>
      <c r="E6" s="2"/>
      <c r="F6" s="2"/>
      <c r="G6" s="2"/>
      <c r="H6" s="2"/>
      <c r="I6" s="2"/>
      <c r="J6" s="2"/>
      <c r="K6" s="2"/>
      <c r="L6" s="2"/>
      <c r="M6" s="2"/>
      <c r="N6" s="2"/>
      <c r="O6" s="2"/>
      <c r="P6" s="2"/>
      <c r="Q6" s="2"/>
      <c r="R6" s="2"/>
      <c r="S6" s="2"/>
      <c r="T6" s="2"/>
      <c r="U6" s="2"/>
      <c r="V6" s="2"/>
      <c r="W6" s="2"/>
    </row>
    <row r="7" spans="1:23" x14ac:dyDescent="0.3">
      <c r="A7" s="2"/>
      <c r="B7" s="2"/>
      <c r="C7" s="2"/>
      <c r="D7" s="2"/>
      <c r="E7" s="2"/>
      <c r="F7" s="2"/>
      <c r="G7" s="2"/>
      <c r="H7" s="2"/>
      <c r="I7" s="2"/>
      <c r="J7" s="2"/>
      <c r="K7" s="2"/>
      <c r="L7" s="2"/>
      <c r="M7" s="2"/>
      <c r="N7" s="2"/>
      <c r="O7" s="2"/>
      <c r="P7" s="2"/>
      <c r="Q7" s="2"/>
      <c r="R7" s="2"/>
      <c r="S7" s="2"/>
      <c r="T7" s="2"/>
      <c r="U7" s="2"/>
      <c r="V7" s="2"/>
      <c r="W7" s="2"/>
    </row>
    <row r="8" spans="1:23" x14ac:dyDescent="0.3">
      <c r="A8" s="2"/>
      <c r="B8" s="2"/>
      <c r="C8" s="2"/>
      <c r="D8" s="2"/>
      <c r="E8" s="2"/>
      <c r="F8" s="2"/>
      <c r="G8" s="2"/>
      <c r="H8" s="2"/>
      <c r="I8" s="2"/>
      <c r="J8" s="2"/>
      <c r="K8" s="2"/>
      <c r="L8" s="2"/>
      <c r="M8" s="2"/>
      <c r="N8" s="2"/>
      <c r="O8" s="2"/>
      <c r="P8" s="2"/>
      <c r="Q8" s="2"/>
      <c r="R8" s="2"/>
      <c r="S8" s="2"/>
      <c r="T8" s="2"/>
      <c r="U8" s="2"/>
      <c r="V8" s="2"/>
      <c r="W8" s="2"/>
    </row>
    <row r="9" spans="1:23" x14ac:dyDescent="0.3">
      <c r="A9" s="2"/>
      <c r="B9" s="2"/>
      <c r="C9" s="2"/>
      <c r="D9" s="2"/>
      <c r="E9" s="2"/>
      <c r="F9" s="2"/>
      <c r="G9" s="2"/>
      <c r="H9" s="2"/>
      <c r="I9" s="2"/>
      <c r="J9" s="2"/>
      <c r="K9" s="2"/>
      <c r="L9" s="2"/>
      <c r="M9" s="2"/>
      <c r="N9" s="2"/>
      <c r="O9" s="2"/>
      <c r="P9" s="2"/>
      <c r="Q9" s="2"/>
      <c r="R9" s="2"/>
      <c r="S9" s="2"/>
      <c r="T9" s="2"/>
      <c r="U9" s="2"/>
      <c r="V9" s="2"/>
      <c r="W9" s="2"/>
    </row>
    <row r="10" spans="1:23" x14ac:dyDescent="0.3">
      <c r="A10" s="2"/>
      <c r="B10" s="2"/>
      <c r="C10" s="2"/>
      <c r="D10" s="2"/>
      <c r="E10" s="2"/>
      <c r="F10" s="2"/>
      <c r="G10" s="2"/>
      <c r="H10" s="2"/>
      <c r="I10" s="2"/>
      <c r="J10" s="2"/>
      <c r="K10" s="2"/>
      <c r="L10" s="2"/>
      <c r="M10" s="2"/>
      <c r="N10" s="2"/>
      <c r="O10" s="2"/>
      <c r="P10" s="2"/>
      <c r="Q10" s="2"/>
      <c r="R10" s="2"/>
      <c r="S10" s="2"/>
      <c r="T10" s="2"/>
      <c r="U10" s="2"/>
      <c r="V10" s="2"/>
      <c r="W10" s="2"/>
    </row>
    <row r="11" spans="1:23" x14ac:dyDescent="0.3">
      <c r="A11" s="2"/>
      <c r="B11" s="2"/>
      <c r="C11" s="2"/>
      <c r="D11" s="2"/>
      <c r="E11" s="2"/>
      <c r="F11" s="2"/>
      <c r="G11" s="2"/>
      <c r="H11" s="2"/>
      <c r="I11" s="2"/>
      <c r="J11" s="2"/>
      <c r="K11" s="2"/>
      <c r="L11" s="2"/>
      <c r="M11" s="2"/>
      <c r="N11" s="2"/>
      <c r="O11" s="2"/>
      <c r="P11" s="2"/>
      <c r="Q11" s="2"/>
      <c r="R11" s="2"/>
      <c r="S11" s="2"/>
      <c r="T11" s="2"/>
      <c r="U11" s="2"/>
      <c r="V11" s="2"/>
      <c r="W11" s="2"/>
    </row>
    <row r="12" spans="1:23" x14ac:dyDescent="0.3">
      <c r="A12" s="2"/>
      <c r="B12" s="2"/>
      <c r="C12" s="2"/>
      <c r="D12" s="2"/>
      <c r="E12" s="2"/>
      <c r="F12" s="2"/>
      <c r="G12" s="2"/>
      <c r="H12" s="2"/>
      <c r="I12" s="2"/>
      <c r="J12" s="2"/>
      <c r="K12" s="2"/>
      <c r="L12" s="2"/>
      <c r="M12" s="2"/>
      <c r="N12" s="2"/>
      <c r="O12" s="2"/>
      <c r="P12" s="2"/>
      <c r="Q12" s="2"/>
      <c r="R12" s="2"/>
      <c r="S12" s="2"/>
      <c r="T12" s="2"/>
      <c r="U12" s="2"/>
      <c r="V12" s="2"/>
      <c r="W12" s="2"/>
    </row>
    <row r="13" spans="1:23" x14ac:dyDescent="0.3">
      <c r="A13" s="2"/>
      <c r="B13" s="2"/>
      <c r="C13" s="2"/>
      <c r="D13" s="2"/>
      <c r="E13" s="2"/>
      <c r="F13" s="2"/>
      <c r="G13" s="2"/>
      <c r="H13" s="2"/>
      <c r="I13" s="2"/>
      <c r="J13" s="2"/>
      <c r="K13" s="2"/>
      <c r="L13" s="2"/>
      <c r="M13" s="2"/>
      <c r="N13" s="2"/>
      <c r="O13" s="2"/>
      <c r="P13" s="2"/>
      <c r="Q13" s="2"/>
      <c r="R13" s="2"/>
      <c r="S13" s="2"/>
      <c r="T13" s="2"/>
      <c r="U13" s="2"/>
      <c r="V13" s="2"/>
      <c r="W13" s="2"/>
    </row>
    <row r="14" spans="1:23" x14ac:dyDescent="0.3">
      <c r="A14" s="2"/>
      <c r="B14" s="2"/>
      <c r="C14" s="2"/>
      <c r="D14" s="2"/>
      <c r="E14" s="2"/>
      <c r="F14" s="2"/>
      <c r="G14" s="2"/>
      <c r="H14" s="2"/>
      <c r="I14" s="2"/>
      <c r="J14" s="2"/>
      <c r="K14" s="2"/>
      <c r="L14" s="2"/>
      <c r="M14" s="2"/>
      <c r="N14" s="2"/>
      <c r="O14" s="2"/>
      <c r="P14" s="2"/>
      <c r="Q14" s="2"/>
      <c r="R14" s="2"/>
      <c r="S14" s="2"/>
      <c r="T14" s="2"/>
      <c r="U14" s="2"/>
      <c r="V14" s="2"/>
      <c r="W14" s="2"/>
    </row>
    <row r="15" spans="1:23" x14ac:dyDescent="0.3">
      <c r="A15" s="2"/>
      <c r="B15" s="2"/>
      <c r="C15" s="2"/>
      <c r="D15" s="2"/>
      <c r="E15" s="2"/>
      <c r="F15" s="2"/>
      <c r="G15" s="2"/>
      <c r="H15" s="2"/>
      <c r="I15" s="2"/>
      <c r="J15" s="2"/>
      <c r="K15" s="2"/>
      <c r="L15" s="2"/>
      <c r="M15" s="2"/>
      <c r="N15" s="2"/>
      <c r="O15" s="2"/>
      <c r="P15" s="2"/>
      <c r="Q15" s="2"/>
      <c r="R15" s="2"/>
      <c r="S15" s="2"/>
      <c r="T15" s="2"/>
      <c r="U15" s="2"/>
      <c r="V15" s="2"/>
      <c r="W15" s="2"/>
    </row>
    <row r="16" spans="1:23" x14ac:dyDescent="0.3">
      <c r="A16" s="2"/>
      <c r="B16" s="2"/>
      <c r="C16" s="2"/>
      <c r="D16" s="2"/>
      <c r="E16" s="2"/>
      <c r="F16" s="2"/>
      <c r="G16" s="2"/>
      <c r="H16" s="2"/>
      <c r="I16" s="2"/>
      <c r="J16" s="2"/>
      <c r="K16" s="2"/>
      <c r="L16" s="2"/>
      <c r="M16" s="2"/>
      <c r="N16" s="2"/>
      <c r="O16" s="2"/>
      <c r="P16" s="2"/>
      <c r="Q16" s="2"/>
      <c r="R16" s="2"/>
      <c r="S16" s="2"/>
      <c r="T16" s="2"/>
      <c r="U16" s="2"/>
      <c r="V16" s="2"/>
      <c r="W16" s="2"/>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row r="26" spans="1:23" x14ac:dyDescent="0.3">
      <c r="A26" s="2"/>
      <c r="B26" s="2"/>
      <c r="C26" s="2"/>
      <c r="D26" s="2"/>
      <c r="E26" s="2"/>
      <c r="F26" s="2"/>
      <c r="G26" s="2"/>
      <c r="H26" s="2"/>
      <c r="I26" s="2"/>
      <c r="J26" s="2"/>
      <c r="K26" s="2"/>
      <c r="L26" s="2"/>
      <c r="M26" s="2"/>
      <c r="N26" s="2"/>
      <c r="O26" s="2"/>
      <c r="P26" s="2"/>
      <c r="Q26" s="2"/>
      <c r="R26" s="2"/>
      <c r="S26" s="2"/>
      <c r="T26" s="2"/>
      <c r="U26" s="2"/>
      <c r="V26" s="2"/>
      <c r="W26" s="2"/>
    </row>
    <row r="27" spans="1:23" x14ac:dyDescent="0.3">
      <c r="A27" s="2"/>
      <c r="B27" s="2"/>
      <c r="C27" s="2"/>
      <c r="D27" s="2"/>
      <c r="E27" s="2"/>
      <c r="F27" s="2"/>
      <c r="G27" s="2"/>
      <c r="H27" s="2"/>
      <c r="I27" s="2"/>
      <c r="J27" s="2"/>
      <c r="K27" s="2"/>
      <c r="L27" s="2"/>
      <c r="M27" s="2"/>
      <c r="N27" s="2"/>
      <c r="O27" s="2"/>
      <c r="P27" s="2"/>
      <c r="Q27" s="2"/>
      <c r="R27" s="2"/>
      <c r="S27" s="2"/>
      <c r="T27" s="2"/>
      <c r="U27" s="2"/>
      <c r="V27" s="2"/>
      <c r="W27" s="2"/>
    </row>
    <row r="28" spans="1:23" x14ac:dyDescent="0.3">
      <c r="A28" s="2"/>
      <c r="B28" s="2"/>
      <c r="C28" s="2"/>
      <c r="D28" s="2"/>
      <c r="E28" s="2"/>
      <c r="F28" s="2"/>
      <c r="G28" s="2"/>
      <c r="H28" s="2"/>
      <c r="I28" s="2"/>
      <c r="J28" s="2"/>
      <c r="K28" s="2"/>
      <c r="L28" s="2"/>
      <c r="M28" s="2"/>
      <c r="N28" s="2"/>
      <c r="O28" s="2"/>
      <c r="P28" s="2"/>
      <c r="Q28" s="2"/>
      <c r="R28" s="2"/>
      <c r="S28" s="2"/>
      <c r="T28" s="2"/>
      <c r="U28" s="2"/>
      <c r="V28" s="2"/>
      <c r="W28" s="2"/>
    </row>
    <row r="29" spans="1:23" x14ac:dyDescent="0.3">
      <c r="A29" s="2"/>
      <c r="B29" s="2"/>
      <c r="C29" s="2"/>
      <c r="D29" s="2"/>
      <c r="E29" s="2"/>
      <c r="F29" s="2"/>
      <c r="G29" s="2"/>
      <c r="H29" s="2"/>
      <c r="I29" s="2"/>
      <c r="J29" s="2"/>
      <c r="K29" s="2"/>
      <c r="L29" s="2"/>
      <c r="M29" s="2"/>
      <c r="N29" s="2"/>
      <c r="O29" s="2"/>
      <c r="P29" s="2"/>
      <c r="Q29" s="2"/>
      <c r="R29" s="2"/>
      <c r="S29" s="2"/>
      <c r="T29" s="2"/>
      <c r="U29" s="2"/>
      <c r="V29" s="2"/>
      <c r="W29" s="2"/>
    </row>
    <row r="30" spans="1:23" x14ac:dyDescent="0.3">
      <c r="A30" s="2"/>
      <c r="B30" s="2"/>
      <c r="C30" s="2"/>
      <c r="D30" s="2"/>
      <c r="E30" s="2"/>
      <c r="F30" s="2"/>
      <c r="G30" s="2"/>
      <c r="H30" s="2"/>
      <c r="I30" s="2"/>
      <c r="J30" s="2"/>
      <c r="K30" s="2"/>
      <c r="L30" s="2"/>
      <c r="M30" s="2"/>
      <c r="N30" s="2"/>
      <c r="O30" s="2"/>
      <c r="P30" s="2"/>
      <c r="Q30" s="2"/>
      <c r="R30" s="2"/>
      <c r="S30" s="2"/>
      <c r="T30" s="2"/>
      <c r="U30" s="2"/>
      <c r="V30" s="2"/>
      <c r="W30" s="2"/>
    </row>
    <row r="31" spans="1:23" x14ac:dyDescent="0.3">
      <c r="A31" s="2"/>
      <c r="B31" s="2"/>
      <c r="C31" s="2"/>
      <c r="D31" s="2"/>
      <c r="E31" s="2"/>
      <c r="F31" s="2"/>
      <c r="G31" s="2"/>
      <c r="H31" s="2"/>
      <c r="I31" s="2"/>
      <c r="J31" s="2"/>
      <c r="K31" s="2"/>
      <c r="L31" s="2"/>
      <c r="M31" s="2"/>
      <c r="N31" s="2"/>
      <c r="O31" s="2"/>
      <c r="P31" s="2"/>
      <c r="Q31" s="2"/>
      <c r="R31" s="2"/>
      <c r="S31" s="2"/>
      <c r="T31" s="2"/>
      <c r="U31" s="2"/>
      <c r="V31" s="2"/>
      <c r="W31" s="2"/>
    </row>
    <row r="32" spans="1:23" x14ac:dyDescent="0.3">
      <c r="A32" s="2"/>
      <c r="B32" s="2"/>
      <c r="C32" s="2"/>
      <c r="D32" s="2"/>
      <c r="E32" s="2"/>
      <c r="F32" s="2"/>
      <c r="G32" s="2"/>
      <c r="H32" s="2"/>
      <c r="I32" s="2"/>
      <c r="J32" s="2"/>
      <c r="K32" s="2"/>
      <c r="L32" s="2"/>
      <c r="M32" s="2"/>
      <c r="N32" s="2"/>
      <c r="O32" s="2"/>
      <c r="P32" s="2"/>
      <c r="Q32" s="2"/>
      <c r="R32" s="2"/>
      <c r="S32" s="2"/>
      <c r="T32" s="2"/>
      <c r="U32" s="2"/>
      <c r="V32" s="2"/>
      <c r="W32" s="2"/>
    </row>
    <row r="33" spans="1:23" x14ac:dyDescent="0.3">
      <c r="A33" s="2"/>
      <c r="B33" s="2"/>
      <c r="C33" s="2"/>
      <c r="D33" s="2"/>
      <c r="E33" s="2"/>
      <c r="F33" s="2"/>
      <c r="G33" s="2"/>
      <c r="H33" s="2"/>
      <c r="I33" s="2"/>
      <c r="J33" s="2"/>
      <c r="K33" s="2"/>
      <c r="L33" s="2"/>
      <c r="M33" s="2"/>
      <c r="N33" s="2"/>
      <c r="O33" s="2"/>
      <c r="P33" s="2"/>
      <c r="Q33" s="2"/>
      <c r="R33" s="2"/>
      <c r="S33" s="2"/>
      <c r="T33" s="2"/>
      <c r="U33" s="2"/>
      <c r="V33" s="2"/>
      <c r="W33" s="2"/>
    </row>
    <row r="34" spans="1:23" x14ac:dyDescent="0.3">
      <c r="A34" s="2"/>
      <c r="B34" s="2"/>
      <c r="C34" s="2"/>
      <c r="D34" s="2"/>
      <c r="E34" s="2"/>
      <c r="F34" s="2"/>
      <c r="G34" s="2"/>
      <c r="H34" s="2"/>
      <c r="I34" s="2"/>
      <c r="J34" s="2"/>
      <c r="K34" s="2"/>
      <c r="L34" s="2"/>
      <c r="M34" s="2"/>
      <c r="N34" s="2"/>
      <c r="O34" s="2"/>
      <c r="P34" s="2"/>
      <c r="Q34" s="2"/>
      <c r="R34" s="2"/>
      <c r="S34" s="2"/>
      <c r="T34" s="2"/>
      <c r="U34" s="2"/>
      <c r="V34" s="2"/>
      <c r="W34" s="2"/>
    </row>
    <row r="35" spans="1:23" x14ac:dyDescent="0.3">
      <c r="A35" s="2"/>
      <c r="B35" s="2"/>
      <c r="C35" s="2"/>
      <c r="D35" s="2"/>
      <c r="E35" s="2"/>
      <c r="F35" s="2"/>
      <c r="G35" s="2"/>
      <c r="H35" s="2"/>
      <c r="I35" s="2"/>
      <c r="J35" s="2"/>
      <c r="K35" s="2"/>
      <c r="L35" s="2"/>
      <c r="M35" s="2"/>
      <c r="N35" s="2"/>
      <c r="O35" s="2"/>
      <c r="P35" s="2"/>
      <c r="Q35" s="2"/>
      <c r="R35" s="2"/>
      <c r="S35" s="2"/>
      <c r="T35" s="2"/>
      <c r="U35" s="2"/>
      <c r="V35" s="2"/>
      <c r="W35" s="2"/>
    </row>
    <row r="36" spans="1:23" x14ac:dyDescent="0.3">
      <c r="A36" s="2"/>
      <c r="B36" s="2"/>
      <c r="C36" s="2"/>
      <c r="D36" s="2"/>
      <c r="E36" s="2"/>
      <c r="F36" s="2"/>
      <c r="G36" s="2"/>
      <c r="H36" s="2"/>
      <c r="I36" s="2"/>
      <c r="J36" s="2"/>
      <c r="K36" s="2"/>
      <c r="L36" s="2"/>
      <c r="M36" s="2"/>
      <c r="N36" s="2"/>
      <c r="O36" s="2"/>
      <c r="P36" s="2"/>
      <c r="Q36" s="2"/>
      <c r="R36" s="2"/>
      <c r="S36" s="2"/>
      <c r="T36" s="2"/>
      <c r="U36" s="2"/>
      <c r="V36" s="2"/>
      <c r="W36" s="2"/>
    </row>
    <row r="37" spans="1:23" x14ac:dyDescent="0.3">
      <c r="A37" s="2"/>
      <c r="B37" s="2"/>
      <c r="C37" s="2"/>
      <c r="D37" s="2"/>
      <c r="E37" s="2"/>
      <c r="F37" s="2"/>
      <c r="G37" s="2"/>
      <c r="H37" s="2"/>
      <c r="I37" s="2"/>
      <c r="J37" s="2"/>
      <c r="K37" s="2"/>
      <c r="L37" s="2"/>
      <c r="M37" s="2"/>
      <c r="N37" s="2"/>
      <c r="O37" s="2"/>
      <c r="P37" s="2"/>
      <c r="Q37" s="2"/>
      <c r="R37" s="2"/>
      <c r="S37" s="2"/>
      <c r="T37" s="2"/>
      <c r="U37" s="2"/>
      <c r="V37" s="2"/>
      <c r="W37"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DEB4-205B-4697-A0B8-4959422D24DC}">
  <dimension ref="A1:S31"/>
  <sheetViews>
    <sheetView workbookViewId="0">
      <selection activeCell="J36" sqref="J36"/>
    </sheetView>
  </sheetViews>
  <sheetFormatPr defaultRowHeight="14.4" x14ac:dyDescent="0.3"/>
  <cols>
    <col min="2" max="2" width="14.44140625" customWidth="1"/>
    <col min="3" max="3" width="10.33203125" customWidth="1"/>
    <col min="4" max="4" width="14.44140625" customWidth="1"/>
    <col min="5" max="5" width="25.6640625" customWidth="1"/>
    <col min="6" max="6" width="14.44140625" customWidth="1"/>
    <col min="7" max="7" width="12.77734375" customWidth="1"/>
    <col min="8" max="8" width="17.21875" customWidth="1"/>
    <col min="9" max="9" width="18.44140625" customWidth="1"/>
    <col min="10" max="10" width="20.77734375" customWidth="1"/>
    <col min="11" max="11" width="16" customWidth="1"/>
    <col min="12" max="12" width="14.109375" customWidth="1"/>
    <col min="13" max="13" width="13.5546875" customWidth="1"/>
    <col min="14" max="14" width="12.77734375" customWidth="1"/>
    <col min="15" max="15" width="13.88671875" customWidth="1"/>
    <col min="16" max="16" width="13.44140625" customWidth="1"/>
    <col min="17" max="17" width="11" customWidth="1"/>
    <col min="18" max="18" width="15.77734375" customWidth="1"/>
    <col min="19" max="19" width="15.109375" customWidth="1"/>
  </cols>
  <sheetData>
    <row r="1" spans="1:19" x14ac:dyDescent="0.3">
      <c r="A1" s="5" t="s">
        <v>0</v>
      </c>
      <c r="B1" s="5" t="s">
        <v>1</v>
      </c>
      <c r="C1" s="5" t="s">
        <v>52</v>
      </c>
      <c r="D1" s="5" t="s">
        <v>53</v>
      </c>
      <c r="E1" s="5" t="s">
        <v>59</v>
      </c>
      <c r="F1" s="5" t="s">
        <v>2</v>
      </c>
      <c r="G1" s="5" t="s">
        <v>3</v>
      </c>
      <c r="H1" s="5" t="s">
        <v>4</v>
      </c>
      <c r="I1" s="5" t="s">
        <v>5</v>
      </c>
      <c r="J1" s="5" t="s">
        <v>6</v>
      </c>
      <c r="K1" s="5" t="s">
        <v>7</v>
      </c>
      <c r="L1" s="5" t="s">
        <v>8</v>
      </c>
      <c r="M1" s="5" t="s">
        <v>9</v>
      </c>
      <c r="N1" s="5" t="s">
        <v>10</v>
      </c>
      <c r="O1" s="5" t="s">
        <v>11</v>
      </c>
      <c r="P1" s="5" t="s">
        <v>12</v>
      </c>
      <c r="Q1" s="5" t="s">
        <v>13</v>
      </c>
      <c r="R1" s="5" t="s">
        <v>14</v>
      </c>
      <c r="S1" t="s">
        <v>33</v>
      </c>
    </row>
    <row r="2" spans="1:19" x14ac:dyDescent="0.3">
      <c r="A2" s="5">
        <v>3392</v>
      </c>
      <c r="B2" s="6">
        <v>46027</v>
      </c>
      <c r="C2" s="5">
        <f>YEAR(B2)</f>
        <v>2026</v>
      </c>
      <c r="D2" s="5">
        <f>MONTH(B2)</f>
        <v>1</v>
      </c>
      <c r="E2" s="7" t="str">
        <f>TEXT(B2,"MMM")</f>
        <v>Jan</v>
      </c>
      <c r="F2" s="5" t="s">
        <v>24</v>
      </c>
      <c r="G2" s="5" t="s">
        <v>34</v>
      </c>
      <c r="H2" s="5" t="s">
        <v>17</v>
      </c>
      <c r="I2" s="5" t="s">
        <v>18</v>
      </c>
      <c r="J2" s="5" t="s">
        <v>19</v>
      </c>
      <c r="K2" s="5" t="s">
        <v>35</v>
      </c>
      <c r="L2" s="5">
        <v>4</v>
      </c>
      <c r="M2" s="5">
        <v>25</v>
      </c>
      <c r="N2" s="8">
        <v>0</v>
      </c>
      <c r="O2" s="5">
        <v>12</v>
      </c>
      <c r="P2" s="5">
        <v>100</v>
      </c>
      <c r="Q2" s="5">
        <v>48</v>
      </c>
      <c r="R2" s="5">
        <v>52</v>
      </c>
      <c r="S2" s="1">
        <v>0.52</v>
      </c>
    </row>
    <row r="3" spans="1:19" x14ac:dyDescent="0.3">
      <c r="A3" s="5">
        <v>3393</v>
      </c>
      <c r="B3" s="6">
        <v>46028</v>
      </c>
      <c r="C3" s="5">
        <f t="shared" ref="C3:C31" si="0">YEAR(B3)</f>
        <v>2026</v>
      </c>
      <c r="D3" s="5">
        <f t="shared" ref="D3:D31" si="1">MONTH(B3)</f>
        <v>1</v>
      </c>
      <c r="E3" s="7" t="str">
        <f t="shared" ref="E3:E31" si="2">TEXT(B3,"MMM")</f>
        <v>Jan</v>
      </c>
      <c r="F3" s="5" t="s">
        <v>24</v>
      </c>
      <c r="G3" s="5" t="s">
        <v>36</v>
      </c>
      <c r="H3" s="5" t="s">
        <v>37</v>
      </c>
      <c r="I3" s="5" t="s">
        <v>38</v>
      </c>
      <c r="J3" s="5" t="s">
        <v>39</v>
      </c>
      <c r="K3" s="5" t="s">
        <v>40</v>
      </c>
      <c r="L3" s="5">
        <v>7</v>
      </c>
      <c r="M3" s="5">
        <v>180</v>
      </c>
      <c r="N3" s="8">
        <v>0.05</v>
      </c>
      <c r="O3" s="5">
        <v>110</v>
      </c>
      <c r="P3" s="5">
        <v>1197</v>
      </c>
      <c r="Q3" s="5">
        <v>770</v>
      </c>
      <c r="R3" s="5">
        <v>427</v>
      </c>
      <c r="S3" s="1">
        <v>0.36</v>
      </c>
    </row>
    <row r="4" spans="1:19" x14ac:dyDescent="0.3">
      <c r="A4" s="5">
        <v>3394</v>
      </c>
      <c r="B4" s="6">
        <v>46029</v>
      </c>
      <c r="C4" s="5">
        <f t="shared" si="0"/>
        <v>2026</v>
      </c>
      <c r="D4" s="5">
        <f t="shared" si="1"/>
        <v>1</v>
      </c>
      <c r="E4" s="7" t="str">
        <f t="shared" si="2"/>
        <v>Jan</v>
      </c>
      <c r="F4" s="5" t="s">
        <v>15</v>
      </c>
      <c r="G4" s="5" t="s">
        <v>32</v>
      </c>
      <c r="H4" s="5" t="s">
        <v>41</v>
      </c>
      <c r="I4" s="5" t="s">
        <v>20</v>
      </c>
      <c r="J4" s="5" t="s">
        <v>42</v>
      </c>
      <c r="K4" s="5" t="s">
        <v>43</v>
      </c>
      <c r="L4" s="5">
        <v>10</v>
      </c>
      <c r="M4" s="5">
        <v>20</v>
      </c>
      <c r="N4" s="8">
        <v>0.1</v>
      </c>
      <c r="O4" s="5">
        <v>8</v>
      </c>
      <c r="P4" s="5">
        <v>180</v>
      </c>
      <c r="Q4" s="5">
        <v>80</v>
      </c>
      <c r="R4" s="5">
        <v>100</v>
      </c>
      <c r="S4" s="1">
        <v>0.56000000000000005</v>
      </c>
    </row>
    <row r="5" spans="1:19" x14ac:dyDescent="0.3">
      <c r="A5" s="5">
        <v>3395</v>
      </c>
      <c r="B5" s="6">
        <v>46030</v>
      </c>
      <c r="C5" s="5">
        <f t="shared" si="0"/>
        <v>2026</v>
      </c>
      <c r="D5" s="5">
        <f t="shared" si="1"/>
        <v>1</v>
      </c>
      <c r="E5" s="7" t="str">
        <f t="shared" si="2"/>
        <v>Jan</v>
      </c>
      <c r="F5" s="5" t="s">
        <v>15</v>
      </c>
      <c r="G5" s="5" t="s">
        <v>16</v>
      </c>
      <c r="H5" s="5" t="s">
        <v>17</v>
      </c>
      <c r="I5" s="5" t="s">
        <v>18</v>
      </c>
      <c r="J5" s="5" t="s">
        <v>19</v>
      </c>
      <c r="K5" s="5" t="s">
        <v>44</v>
      </c>
      <c r="L5" s="5">
        <v>12</v>
      </c>
      <c r="M5" s="5">
        <v>65</v>
      </c>
      <c r="N5" s="8">
        <v>0.15</v>
      </c>
      <c r="O5" s="5">
        <v>34</v>
      </c>
      <c r="P5" s="5">
        <v>663</v>
      </c>
      <c r="Q5" s="5">
        <v>408</v>
      </c>
      <c r="R5" s="5">
        <v>255</v>
      </c>
      <c r="S5" s="1">
        <v>0.38</v>
      </c>
    </row>
    <row r="6" spans="1:19" x14ac:dyDescent="0.3">
      <c r="A6" s="5">
        <v>3396</v>
      </c>
      <c r="B6" s="6">
        <v>46031</v>
      </c>
      <c r="C6" s="5">
        <f t="shared" si="0"/>
        <v>2026</v>
      </c>
      <c r="D6" s="5">
        <f t="shared" si="1"/>
        <v>1</v>
      </c>
      <c r="E6" s="7" t="str">
        <f t="shared" si="2"/>
        <v>Jan</v>
      </c>
      <c r="F6" s="5" t="s">
        <v>21</v>
      </c>
      <c r="G6" s="5" t="s">
        <v>45</v>
      </c>
      <c r="H6" s="5" t="s">
        <v>37</v>
      </c>
      <c r="I6" s="5" t="s">
        <v>38</v>
      </c>
      <c r="J6" s="5" t="s">
        <v>42</v>
      </c>
      <c r="K6" s="5" t="s">
        <v>46</v>
      </c>
      <c r="L6" s="5">
        <v>5</v>
      </c>
      <c r="M6" s="5">
        <v>15</v>
      </c>
      <c r="N6" s="8">
        <v>0</v>
      </c>
      <c r="O6" s="5">
        <v>6.5</v>
      </c>
      <c r="P6" s="5">
        <v>75</v>
      </c>
      <c r="Q6" s="5">
        <v>32.5</v>
      </c>
      <c r="R6" s="5">
        <v>42.5</v>
      </c>
      <c r="S6" s="1">
        <v>0.56999999999999995</v>
      </c>
    </row>
    <row r="7" spans="1:19" x14ac:dyDescent="0.3">
      <c r="A7" s="5">
        <v>3397</v>
      </c>
      <c r="B7" s="6">
        <v>46032</v>
      </c>
      <c r="C7" s="5">
        <f t="shared" si="0"/>
        <v>2026</v>
      </c>
      <c r="D7" s="5">
        <f t="shared" si="1"/>
        <v>1</v>
      </c>
      <c r="E7" s="7" t="str">
        <f t="shared" si="2"/>
        <v>Jan</v>
      </c>
      <c r="F7" s="5" t="s">
        <v>21</v>
      </c>
      <c r="G7" s="5" t="s">
        <v>22</v>
      </c>
      <c r="H7" s="5" t="s">
        <v>41</v>
      </c>
      <c r="I7" s="5" t="s">
        <v>20</v>
      </c>
      <c r="J7" s="5" t="s">
        <v>19</v>
      </c>
      <c r="K7" s="5" t="s">
        <v>23</v>
      </c>
      <c r="L7" s="5">
        <v>8</v>
      </c>
      <c r="M7" s="5">
        <v>50</v>
      </c>
      <c r="N7" s="8">
        <v>0.05</v>
      </c>
      <c r="O7" s="5">
        <v>26</v>
      </c>
      <c r="P7" s="5">
        <v>380</v>
      </c>
      <c r="Q7" s="5">
        <v>208</v>
      </c>
      <c r="R7" s="5">
        <v>172</v>
      </c>
      <c r="S7" s="1">
        <v>0.45</v>
      </c>
    </row>
    <row r="8" spans="1:19" x14ac:dyDescent="0.3">
      <c r="A8" s="5">
        <v>3398</v>
      </c>
      <c r="B8" s="6">
        <v>46033</v>
      </c>
      <c r="C8" s="5">
        <f t="shared" si="0"/>
        <v>2026</v>
      </c>
      <c r="D8" s="5">
        <f t="shared" si="1"/>
        <v>1</v>
      </c>
      <c r="E8" s="7" t="str">
        <f t="shared" si="2"/>
        <v>Jan</v>
      </c>
      <c r="F8" s="5" t="s">
        <v>25</v>
      </c>
      <c r="G8" s="5" t="s">
        <v>26</v>
      </c>
      <c r="H8" s="5" t="s">
        <v>17</v>
      </c>
      <c r="I8" s="5" t="s">
        <v>18</v>
      </c>
      <c r="J8" s="5" t="s">
        <v>47</v>
      </c>
      <c r="K8" s="5" t="s">
        <v>48</v>
      </c>
      <c r="L8" s="5">
        <v>15</v>
      </c>
      <c r="M8" s="5">
        <v>35</v>
      </c>
      <c r="N8" s="8">
        <v>0.1</v>
      </c>
      <c r="O8" s="5">
        <v>17</v>
      </c>
      <c r="P8" s="5">
        <v>472.5</v>
      </c>
      <c r="Q8" s="5">
        <v>255</v>
      </c>
      <c r="R8" s="5">
        <v>217.5</v>
      </c>
      <c r="S8" s="1">
        <v>0.46</v>
      </c>
    </row>
    <row r="9" spans="1:19" x14ac:dyDescent="0.3">
      <c r="A9" s="5">
        <v>3399</v>
      </c>
      <c r="B9" s="6">
        <v>46034</v>
      </c>
      <c r="C9" s="5">
        <f t="shared" si="0"/>
        <v>2026</v>
      </c>
      <c r="D9" s="5">
        <f t="shared" si="1"/>
        <v>1</v>
      </c>
      <c r="E9" s="7" t="str">
        <f t="shared" si="2"/>
        <v>Jan</v>
      </c>
      <c r="F9" s="5" t="s">
        <v>27</v>
      </c>
      <c r="G9" s="5" t="s">
        <v>28</v>
      </c>
      <c r="H9" s="5" t="s">
        <v>37</v>
      </c>
      <c r="I9" s="5" t="s">
        <v>38</v>
      </c>
      <c r="J9" s="5" t="s">
        <v>19</v>
      </c>
      <c r="K9" s="5" t="s">
        <v>29</v>
      </c>
      <c r="L9" s="5">
        <v>6</v>
      </c>
      <c r="M9" s="5">
        <v>80</v>
      </c>
      <c r="N9" s="8">
        <v>0.15</v>
      </c>
      <c r="O9" s="5">
        <v>42</v>
      </c>
      <c r="P9" s="5">
        <v>408</v>
      </c>
      <c r="Q9" s="5">
        <v>252</v>
      </c>
      <c r="R9" s="5">
        <v>156</v>
      </c>
      <c r="S9" s="1">
        <v>0.38</v>
      </c>
    </row>
    <row r="10" spans="1:19" x14ac:dyDescent="0.3">
      <c r="A10" s="5">
        <v>3400</v>
      </c>
      <c r="B10" s="6">
        <v>46035</v>
      </c>
      <c r="C10" s="5">
        <f t="shared" si="0"/>
        <v>2026</v>
      </c>
      <c r="D10" s="5">
        <f t="shared" si="1"/>
        <v>1</v>
      </c>
      <c r="E10" s="7" t="str">
        <f t="shared" si="2"/>
        <v>Jan</v>
      </c>
      <c r="F10" s="5" t="s">
        <v>30</v>
      </c>
      <c r="G10" s="5" t="s">
        <v>31</v>
      </c>
      <c r="H10" s="5" t="s">
        <v>41</v>
      </c>
      <c r="I10" s="5" t="s">
        <v>20</v>
      </c>
      <c r="J10" s="5" t="s">
        <v>47</v>
      </c>
      <c r="K10" s="5" t="s">
        <v>49</v>
      </c>
      <c r="L10" s="5">
        <v>9</v>
      </c>
      <c r="M10" s="5">
        <v>45</v>
      </c>
      <c r="N10" s="8">
        <v>0</v>
      </c>
      <c r="O10" s="5">
        <v>22</v>
      </c>
      <c r="P10" s="5">
        <v>405</v>
      </c>
      <c r="Q10" s="5">
        <v>198</v>
      </c>
      <c r="R10" s="5">
        <v>207</v>
      </c>
      <c r="S10" s="1">
        <v>0.51</v>
      </c>
    </row>
    <row r="11" spans="1:19" x14ac:dyDescent="0.3">
      <c r="A11" s="5">
        <v>3401</v>
      </c>
      <c r="B11" s="6">
        <v>46036</v>
      </c>
      <c r="C11" s="5">
        <f t="shared" si="0"/>
        <v>2026</v>
      </c>
      <c r="D11" s="5">
        <f t="shared" si="1"/>
        <v>1</v>
      </c>
      <c r="E11" s="7" t="str">
        <f t="shared" si="2"/>
        <v>Jan</v>
      </c>
      <c r="F11" s="5" t="s">
        <v>21</v>
      </c>
      <c r="G11" s="5" t="s">
        <v>50</v>
      </c>
      <c r="H11" s="5" t="s">
        <v>17</v>
      </c>
      <c r="I11" s="5" t="s">
        <v>18</v>
      </c>
      <c r="J11" s="5" t="s">
        <v>39</v>
      </c>
      <c r="K11" s="5" t="s">
        <v>51</v>
      </c>
      <c r="L11" s="5">
        <v>11</v>
      </c>
      <c r="M11" s="5">
        <v>220</v>
      </c>
      <c r="N11" s="8">
        <v>0.05</v>
      </c>
      <c r="O11" s="5">
        <v>140</v>
      </c>
      <c r="P11" s="5">
        <v>2299</v>
      </c>
      <c r="Q11" s="5">
        <v>1540</v>
      </c>
      <c r="R11" s="5">
        <v>759</v>
      </c>
      <c r="S11" s="1">
        <v>0.33</v>
      </c>
    </row>
    <row r="12" spans="1:19" x14ac:dyDescent="0.3">
      <c r="A12" s="5">
        <v>3402</v>
      </c>
      <c r="B12" s="6">
        <v>46037</v>
      </c>
      <c r="C12" s="5">
        <f t="shared" si="0"/>
        <v>2026</v>
      </c>
      <c r="D12" s="5">
        <f t="shared" si="1"/>
        <v>1</v>
      </c>
      <c r="E12" s="7" t="str">
        <f t="shared" si="2"/>
        <v>Jan</v>
      </c>
      <c r="F12" s="5" t="s">
        <v>24</v>
      </c>
      <c r="G12" s="5" t="s">
        <v>34</v>
      </c>
      <c r="H12" s="5" t="s">
        <v>37</v>
      </c>
      <c r="I12" s="5" t="s">
        <v>38</v>
      </c>
      <c r="J12" s="5" t="s">
        <v>19</v>
      </c>
      <c r="K12" s="5" t="s">
        <v>35</v>
      </c>
      <c r="L12" s="5">
        <v>4</v>
      </c>
      <c r="M12" s="5">
        <v>25</v>
      </c>
      <c r="N12" s="8">
        <v>0.1</v>
      </c>
      <c r="O12" s="5">
        <v>12</v>
      </c>
      <c r="P12" s="5">
        <v>90</v>
      </c>
      <c r="Q12" s="5">
        <v>48</v>
      </c>
      <c r="R12" s="5">
        <v>42</v>
      </c>
      <c r="S12" s="1">
        <v>0.47</v>
      </c>
    </row>
    <row r="13" spans="1:19" x14ac:dyDescent="0.3">
      <c r="A13" s="5">
        <v>3403</v>
      </c>
      <c r="B13" s="6">
        <v>46038</v>
      </c>
      <c r="C13" s="5">
        <f t="shared" si="0"/>
        <v>2026</v>
      </c>
      <c r="D13" s="5">
        <f t="shared" si="1"/>
        <v>1</v>
      </c>
      <c r="E13" s="7" t="str">
        <f>TEXT(B13,"MMM")</f>
        <v>Jan</v>
      </c>
      <c r="F13" s="5" t="s">
        <v>24</v>
      </c>
      <c r="G13" s="5" t="s">
        <v>36</v>
      </c>
      <c r="H13" s="5" t="s">
        <v>41</v>
      </c>
      <c r="I13" s="5" t="s">
        <v>20</v>
      </c>
      <c r="J13" s="5" t="s">
        <v>39</v>
      </c>
      <c r="K13" s="5" t="s">
        <v>40</v>
      </c>
      <c r="L13" s="5">
        <v>7</v>
      </c>
      <c r="M13" s="5">
        <v>180</v>
      </c>
      <c r="N13" s="8">
        <v>0.15</v>
      </c>
      <c r="O13" s="5">
        <v>110</v>
      </c>
      <c r="P13" s="5">
        <v>1071</v>
      </c>
      <c r="Q13" s="5">
        <v>770</v>
      </c>
      <c r="R13" s="5">
        <v>301</v>
      </c>
      <c r="S13" s="1">
        <v>0.28000000000000003</v>
      </c>
    </row>
    <row r="14" spans="1:19" x14ac:dyDescent="0.3">
      <c r="A14" s="5">
        <v>3404</v>
      </c>
      <c r="B14" s="6">
        <v>46343</v>
      </c>
      <c r="C14" s="5">
        <f t="shared" si="0"/>
        <v>2026</v>
      </c>
      <c r="D14" s="5">
        <f t="shared" si="1"/>
        <v>11</v>
      </c>
      <c r="E14" s="7" t="str">
        <f t="shared" si="2"/>
        <v>Nov</v>
      </c>
      <c r="F14" s="5" t="s">
        <v>15</v>
      </c>
      <c r="G14" s="5" t="s">
        <v>32</v>
      </c>
      <c r="H14" s="5" t="s">
        <v>17</v>
      </c>
      <c r="I14" s="5" t="s">
        <v>18</v>
      </c>
      <c r="J14" s="5" t="s">
        <v>42</v>
      </c>
      <c r="K14" s="5" t="s">
        <v>43</v>
      </c>
      <c r="L14" s="5">
        <v>10</v>
      </c>
      <c r="M14" s="5">
        <v>20</v>
      </c>
      <c r="N14" s="8">
        <v>0</v>
      </c>
      <c r="O14" s="5">
        <v>8</v>
      </c>
      <c r="P14" s="5">
        <v>200</v>
      </c>
      <c r="Q14" s="5">
        <v>80</v>
      </c>
      <c r="R14" s="5">
        <v>120</v>
      </c>
      <c r="S14" s="1">
        <v>0.6</v>
      </c>
    </row>
    <row r="15" spans="1:19" x14ac:dyDescent="0.3">
      <c r="A15" s="5">
        <v>3405</v>
      </c>
      <c r="B15" s="6">
        <v>46313</v>
      </c>
      <c r="C15" s="5">
        <f t="shared" si="0"/>
        <v>2026</v>
      </c>
      <c r="D15" s="5">
        <f t="shared" si="1"/>
        <v>10</v>
      </c>
      <c r="E15" s="7" t="str">
        <f t="shared" si="2"/>
        <v>Oct</v>
      </c>
      <c r="F15" s="5" t="s">
        <v>15</v>
      </c>
      <c r="G15" s="5" t="s">
        <v>16</v>
      </c>
      <c r="H15" s="5" t="s">
        <v>37</v>
      </c>
      <c r="I15" s="5" t="s">
        <v>38</v>
      </c>
      <c r="J15" s="5" t="s">
        <v>19</v>
      </c>
      <c r="K15" s="5" t="s">
        <v>44</v>
      </c>
      <c r="L15" s="5">
        <v>12</v>
      </c>
      <c r="M15" s="5">
        <v>65</v>
      </c>
      <c r="N15" s="8">
        <v>0.05</v>
      </c>
      <c r="O15" s="5">
        <v>34</v>
      </c>
      <c r="P15" s="5">
        <v>741</v>
      </c>
      <c r="Q15" s="5">
        <v>408</v>
      </c>
      <c r="R15" s="5">
        <v>333</v>
      </c>
      <c r="S15" s="1">
        <v>0.45</v>
      </c>
    </row>
    <row r="16" spans="1:19" x14ac:dyDescent="0.3">
      <c r="A16" s="5">
        <v>3406</v>
      </c>
      <c r="B16" s="6">
        <v>46284</v>
      </c>
      <c r="C16" s="5">
        <f t="shared" si="0"/>
        <v>2026</v>
      </c>
      <c r="D16" s="5">
        <f t="shared" si="1"/>
        <v>9</v>
      </c>
      <c r="E16" s="7" t="str">
        <f t="shared" si="2"/>
        <v>Sep</v>
      </c>
      <c r="F16" s="5" t="s">
        <v>21</v>
      </c>
      <c r="G16" s="5" t="s">
        <v>45</v>
      </c>
      <c r="H16" s="5" t="s">
        <v>41</v>
      </c>
      <c r="I16" s="5" t="s">
        <v>20</v>
      </c>
      <c r="J16" s="5" t="s">
        <v>42</v>
      </c>
      <c r="K16" s="5" t="s">
        <v>46</v>
      </c>
      <c r="L16" s="5">
        <v>5</v>
      </c>
      <c r="M16" s="5">
        <v>15</v>
      </c>
      <c r="N16" s="8">
        <v>0.1</v>
      </c>
      <c r="O16" s="5">
        <v>6.5</v>
      </c>
      <c r="P16" s="5">
        <v>67.5</v>
      </c>
      <c r="Q16" s="5">
        <v>32.5</v>
      </c>
      <c r="R16" s="5">
        <v>35</v>
      </c>
      <c r="S16" s="1">
        <v>0.52</v>
      </c>
    </row>
    <row r="17" spans="1:19" x14ac:dyDescent="0.3">
      <c r="A17" s="5">
        <v>3407</v>
      </c>
      <c r="B17" s="6">
        <v>46042</v>
      </c>
      <c r="C17" s="5">
        <f t="shared" si="0"/>
        <v>2026</v>
      </c>
      <c r="D17" s="5">
        <f t="shared" si="1"/>
        <v>1</v>
      </c>
      <c r="E17" s="7" t="str">
        <f t="shared" si="2"/>
        <v>Jan</v>
      </c>
      <c r="F17" s="5" t="s">
        <v>21</v>
      </c>
      <c r="G17" s="5" t="s">
        <v>22</v>
      </c>
      <c r="H17" s="5" t="s">
        <v>17</v>
      </c>
      <c r="I17" s="5" t="s">
        <v>18</v>
      </c>
      <c r="J17" s="5" t="s">
        <v>19</v>
      </c>
      <c r="K17" s="5" t="s">
        <v>23</v>
      </c>
      <c r="L17" s="5">
        <v>8</v>
      </c>
      <c r="M17" s="5">
        <v>50</v>
      </c>
      <c r="N17" s="8">
        <v>0.15</v>
      </c>
      <c r="O17" s="5">
        <v>26</v>
      </c>
      <c r="P17" s="5">
        <v>340</v>
      </c>
      <c r="Q17" s="5">
        <v>208</v>
      </c>
      <c r="R17" s="5">
        <v>132</v>
      </c>
      <c r="S17" s="1">
        <v>0.39</v>
      </c>
    </row>
    <row r="18" spans="1:19" x14ac:dyDescent="0.3">
      <c r="A18" s="5">
        <v>3408</v>
      </c>
      <c r="B18" s="6">
        <v>46043</v>
      </c>
      <c r="C18" s="5">
        <f t="shared" si="0"/>
        <v>2026</v>
      </c>
      <c r="D18" s="5">
        <f t="shared" si="1"/>
        <v>1</v>
      </c>
      <c r="E18" s="7" t="str">
        <f t="shared" si="2"/>
        <v>Jan</v>
      </c>
      <c r="F18" s="5" t="s">
        <v>25</v>
      </c>
      <c r="G18" s="5" t="s">
        <v>26</v>
      </c>
      <c r="H18" s="5" t="s">
        <v>37</v>
      </c>
      <c r="I18" s="5" t="s">
        <v>38</v>
      </c>
      <c r="J18" s="5" t="s">
        <v>47</v>
      </c>
      <c r="K18" s="5" t="s">
        <v>48</v>
      </c>
      <c r="L18" s="5">
        <v>15</v>
      </c>
      <c r="M18" s="5">
        <v>35</v>
      </c>
      <c r="N18" s="8">
        <v>0</v>
      </c>
      <c r="O18" s="5">
        <v>17</v>
      </c>
      <c r="P18" s="5">
        <v>525</v>
      </c>
      <c r="Q18" s="5">
        <v>255</v>
      </c>
      <c r="R18" s="5">
        <v>270</v>
      </c>
      <c r="S18" s="1">
        <v>0.51</v>
      </c>
    </row>
    <row r="19" spans="1:19" x14ac:dyDescent="0.3">
      <c r="A19" s="5">
        <v>3409</v>
      </c>
      <c r="B19" s="6">
        <v>46044</v>
      </c>
      <c r="C19" s="5">
        <f t="shared" si="0"/>
        <v>2026</v>
      </c>
      <c r="D19" s="5">
        <f t="shared" si="1"/>
        <v>1</v>
      </c>
      <c r="E19" s="7" t="str">
        <f t="shared" si="2"/>
        <v>Jan</v>
      </c>
      <c r="F19" s="5" t="s">
        <v>27</v>
      </c>
      <c r="G19" s="5" t="s">
        <v>28</v>
      </c>
      <c r="H19" s="5" t="s">
        <v>41</v>
      </c>
      <c r="I19" s="5" t="s">
        <v>20</v>
      </c>
      <c r="J19" s="5" t="s">
        <v>19</v>
      </c>
      <c r="K19" s="5" t="s">
        <v>29</v>
      </c>
      <c r="L19" s="5">
        <v>6</v>
      </c>
      <c r="M19" s="5">
        <v>80</v>
      </c>
      <c r="N19" s="8">
        <v>0.05</v>
      </c>
      <c r="O19" s="5">
        <v>42</v>
      </c>
      <c r="P19" s="5">
        <v>456</v>
      </c>
      <c r="Q19" s="5">
        <v>252</v>
      </c>
      <c r="R19" s="5">
        <v>204</v>
      </c>
      <c r="S19" s="1">
        <v>0.45</v>
      </c>
    </row>
    <row r="20" spans="1:19" x14ac:dyDescent="0.3">
      <c r="A20" s="5">
        <v>3410</v>
      </c>
      <c r="B20" s="6">
        <v>46257</v>
      </c>
      <c r="C20" s="5">
        <f t="shared" si="0"/>
        <v>2026</v>
      </c>
      <c r="D20" s="5">
        <f t="shared" si="1"/>
        <v>8</v>
      </c>
      <c r="E20" s="7" t="str">
        <f t="shared" si="2"/>
        <v>Aug</v>
      </c>
      <c r="F20" s="5" t="s">
        <v>30</v>
      </c>
      <c r="G20" s="5" t="s">
        <v>31</v>
      </c>
      <c r="H20" s="5" t="s">
        <v>17</v>
      </c>
      <c r="I20" s="5" t="s">
        <v>18</v>
      </c>
      <c r="J20" s="5" t="s">
        <v>47</v>
      </c>
      <c r="K20" s="5" t="s">
        <v>49</v>
      </c>
      <c r="L20" s="5">
        <v>9</v>
      </c>
      <c r="M20" s="5">
        <v>45</v>
      </c>
      <c r="N20" s="8">
        <v>0.1</v>
      </c>
      <c r="O20" s="5">
        <v>22</v>
      </c>
      <c r="P20" s="5">
        <v>364.5</v>
      </c>
      <c r="Q20" s="5">
        <v>198</v>
      </c>
      <c r="R20" s="5">
        <v>166.5</v>
      </c>
      <c r="S20" s="1">
        <v>0.46</v>
      </c>
    </row>
    <row r="21" spans="1:19" x14ac:dyDescent="0.3">
      <c r="A21" s="5">
        <v>3411</v>
      </c>
      <c r="B21" s="6">
        <v>46197</v>
      </c>
      <c r="C21" s="5">
        <f t="shared" si="0"/>
        <v>2026</v>
      </c>
      <c r="D21" s="5">
        <f t="shared" si="1"/>
        <v>6</v>
      </c>
      <c r="E21" s="7" t="str">
        <f t="shared" si="2"/>
        <v>Jun</v>
      </c>
      <c r="F21" s="5" t="s">
        <v>21</v>
      </c>
      <c r="G21" s="5" t="s">
        <v>50</v>
      </c>
      <c r="H21" s="5" t="s">
        <v>37</v>
      </c>
      <c r="I21" s="5" t="s">
        <v>38</v>
      </c>
      <c r="J21" s="5" t="s">
        <v>39</v>
      </c>
      <c r="K21" s="5" t="s">
        <v>51</v>
      </c>
      <c r="L21" s="5">
        <v>11</v>
      </c>
      <c r="M21" s="5">
        <v>220</v>
      </c>
      <c r="N21" s="8">
        <v>0.15</v>
      </c>
      <c r="O21" s="5">
        <v>140</v>
      </c>
      <c r="P21" s="5">
        <v>2057</v>
      </c>
      <c r="Q21" s="5">
        <v>1540</v>
      </c>
      <c r="R21" s="5">
        <v>517</v>
      </c>
      <c r="S21" s="1">
        <v>0.25</v>
      </c>
    </row>
    <row r="22" spans="1:19" x14ac:dyDescent="0.3">
      <c r="A22" s="5">
        <v>3412</v>
      </c>
      <c r="B22" s="6">
        <v>46167</v>
      </c>
      <c r="C22" s="5">
        <f t="shared" si="0"/>
        <v>2026</v>
      </c>
      <c r="D22" s="5">
        <f t="shared" si="1"/>
        <v>5</v>
      </c>
      <c r="E22" s="7" t="str">
        <f>TEXT(B22,"MMM")</f>
        <v>May</v>
      </c>
      <c r="F22" s="5" t="s">
        <v>24</v>
      </c>
      <c r="G22" s="5" t="s">
        <v>34</v>
      </c>
      <c r="H22" s="5" t="s">
        <v>41</v>
      </c>
      <c r="I22" s="5" t="s">
        <v>20</v>
      </c>
      <c r="J22" s="5" t="s">
        <v>19</v>
      </c>
      <c r="K22" s="5" t="s">
        <v>35</v>
      </c>
      <c r="L22" s="5">
        <v>4</v>
      </c>
      <c r="M22" s="5">
        <v>25</v>
      </c>
      <c r="N22" s="8">
        <v>0</v>
      </c>
      <c r="O22" s="5">
        <v>12</v>
      </c>
      <c r="P22" s="5">
        <v>100</v>
      </c>
      <c r="Q22" s="5">
        <v>48</v>
      </c>
      <c r="R22" s="5">
        <v>52</v>
      </c>
      <c r="S22" s="1">
        <v>0.52</v>
      </c>
    </row>
    <row r="23" spans="1:19" x14ac:dyDescent="0.3">
      <c r="A23" s="5">
        <v>3413</v>
      </c>
      <c r="B23" s="6">
        <v>46048</v>
      </c>
      <c r="C23" s="5">
        <f t="shared" si="0"/>
        <v>2026</v>
      </c>
      <c r="D23" s="5">
        <f t="shared" si="1"/>
        <v>1</v>
      </c>
      <c r="E23" s="7" t="str">
        <f t="shared" si="2"/>
        <v>Jan</v>
      </c>
      <c r="F23" s="5" t="s">
        <v>24</v>
      </c>
      <c r="G23" s="5" t="s">
        <v>36</v>
      </c>
      <c r="H23" s="5" t="s">
        <v>17</v>
      </c>
      <c r="I23" s="5" t="s">
        <v>18</v>
      </c>
      <c r="J23" s="5" t="s">
        <v>39</v>
      </c>
      <c r="K23" s="5" t="s">
        <v>40</v>
      </c>
      <c r="L23" s="5">
        <v>7</v>
      </c>
      <c r="M23" s="5">
        <v>180</v>
      </c>
      <c r="N23" s="8">
        <v>0.05</v>
      </c>
      <c r="O23" s="5">
        <v>110</v>
      </c>
      <c r="P23" s="5">
        <v>1197</v>
      </c>
      <c r="Q23" s="5">
        <v>770</v>
      </c>
      <c r="R23" s="5">
        <v>427</v>
      </c>
      <c r="S23" s="1">
        <v>0.36</v>
      </c>
    </row>
    <row r="24" spans="1:19" x14ac:dyDescent="0.3">
      <c r="A24" s="5">
        <v>3414</v>
      </c>
      <c r="B24" s="6">
        <v>46230</v>
      </c>
      <c r="C24" s="5">
        <f t="shared" si="0"/>
        <v>2026</v>
      </c>
      <c r="D24" s="5">
        <f t="shared" si="1"/>
        <v>7</v>
      </c>
      <c r="E24" s="7" t="str">
        <f t="shared" si="2"/>
        <v>Jul</v>
      </c>
      <c r="F24" s="5" t="s">
        <v>15</v>
      </c>
      <c r="G24" s="5" t="s">
        <v>32</v>
      </c>
      <c r="H24" s="5" t="s">
        <v>37</v>
      </c>
      <c r="I24" s="5" t="s">
        <v>38</v>
      </c>
      <c r="J24" s="5" t="s">
        <v>42</v>
      </c>
      <c r="K24" s="5" t="s">
        <v>43</v>
      </c>
      <c r="L24" s="5">
        <v>10</v>
      </c>
      <c r="M24" s="5">
        <v>20</v>
      </c>
      <c r="N24" s="8">
        <v>0.1</v>
      </c>
      <c r="O24" s="5">
        <v>8</v>
      </c>
      <c r="P24" s="5">
        <v>180</v>
      </c>
      <c r="Q24" s="5">
        <v>80</v>
      </c>
      <c r="R24" s="5">
        <v>100</v>
      </c>
      <c r="S24" s="1">
        <v>0.56000000000000005</v>
      </c>
    </row>
    <row r="25" spans="1:19" x14ac:dyDescent="0.3">
      <c r="A25" s="5">
        <v>3415</v>
      </c>
      <c r="B25" s="6">
        <v>46140</v>
      </c>
      <c r="C25" s="5">
        <f t="shared" si="0"/>
        <v>2026</v>
      </c>
      <c r="D25" s="5">
        <f t="shared" si="1"/>
        <v>4</v>
      </c>
      <c r="E25" s="7" t="str">
        <f t="shared" si="2"/>
        <v>Apr</v>
      </c>
      <c r="F25" s="5" t="s">
        <v>15</v>
      </c>
      <c r="G25" s="5" t="s">
        <v>16</v>
      </c>
      <c r="H25" s="5" t="s">
        <v>41</v>
      </c>
      <c r="I25" s="5" t="s">
        <v>20</v>
      </c>
      <c r="J25" s="5" t="s">
        <v>19</v>
      </c>
      <c r="K25" s="5" t="s">
        <v>44</v>
      </c>
      <c r="L25" s="5">
        <v>12</v>
      </c>
      <c r="M25" s="5">
        <v>65</v>
      </c>
      <c r="N25" s="8">
        <v>0.15</v>
      </c>
      <c r="O25" s="5">
        <v>34</v>
      </c>
      <c r="P25" s="5">
        <v>663</v>
      </c>
      <c r="Q25" s="5">
        <v>408</v>
      </c>
      <c r="R25" s="5">
        <v>255</v>
      </c>
      <c r="S25" s="1">
        <v>0.38</v>
      </c>
    </row>
    <row r="26" spans="1:19" x14ac:dyDescent="0.3">
      <c r="A26" s="5">
        <v>3416</v>
      </c>
      <c r="B26" s="6">
        <v>46110</v>
      </c>
      <c r="C26" s="5">
        <f t="shared" si="0"/>
        <v>2026</v>
      </c>
      <c r="D26" s="5">
        <f t="shared" si="1"/>
        <v>3</v>
      </c>
      <c r="E26" s="7" t="str">
        <f t="shared" si="2"/>
        <v>Mar</v>
      </c>
      <c r="F26" s="5" t="s">
        <v>21</v>
      </c>
      <c r="G26" s="5" t="s">
        <v>45</v>
      </c>
      <c r="H26" s="5" t="s">
        <v>17</v>
      </c>
      <c r="I26" s="5" t="s">
        <v>18</v>
      </c>
      <c r="J26" s="5" t="s">
        <v>42</v>
      </c>
      <c r="K26" s="5" t="s">
        <v>46</v>
      </c>
      <c r="L26" s="5">
        <v>5</v>
      </c>
      <c r="M26" s="5">
        <v>15</v>
      </c>
      <c r="N26" s="8">
        <v>0</v>
      </c>
      <c r="O26" s="5">
        <v>6.5</v>
      </c>
      <c r="P26" s="5">
        <v>75</v>
      </c>
      <c r="Q26" s="5">
        <v>32.5</v>
      </c>
      <c r="R26" s="5">
        <v>42.5</v>
      </c>
      <c r="S26" s="1">
        <v>0.56999999999999995</v>
      </c>
    </row>
    <row r="27" spans="1:19" x14ac:dyDescent="0.3">
      <c r="A27" s="5">
        <v>3417</v>
      </c>
      <c r="B27" s="6">
        <v>46052</v>
      </c>
      <c r="C27" s="5">
        <f t="shared" si="0"/>
        <v>2026</v>
      </c>
      <c r="D27" s="5">
        <f t="shared" si="1"/>
        <v>1</v>
      </c>
      <c r="E27" s="7" t="str">
        <f t="shared" si="2"/>
        <v>Jan</v>
      </c>
      <c r="F27" s="5" t="s">
        <v>21</v>
      </c>
      <c r="G27" s="5" t="s">
        <v>22</v>
      </c>
      <c r="H27" s="5" t="s">
        <v>37</v>
      </c>
      <c r="I27" s="5" t="s">
        <v>38</v>
      </c>
      <c r="J27" s="5" t="s">
        <v>19</v>
      </c>
      <c r="K27" s="5" t="s">
        <v>23</v>
      </c>
      <c r="L27" s="5">
        <v>8</v>
      </c>
      <c r="M27" s="5">
        <v>50</v>
      </c>
      <c r="N27" s="8">
        <v>0.05</v>
      </c>
      <c r="O27" s="5">
        <v>26</v>
      </c>
      <c r="P27" s="5">
        <v>380</v>
      </c>
      <c r="Q27" s="5">
        <v>208</v>
      </c>
      <c r="R27" s="5">
        <v>172</v>
      </c>
      <c r="S27" s="1">
        <v>0.45</v>
      </c>
    </row>
    <row r="28" spans="1:19" x14ac:dyDescent="0.3">
      <c r="A28" s="5">
        <v>3418</v>
      </c>
      <c r="B28" s="6">
        <v>46387</v>
      </c>
      <c r="C28" s="5">
        <f t="shared" si="0"/>
        <v>2026</v>
      </c>
      <c r="D28" s="5">
        <f t="shared" si="1"/>
        <v>12</v>
      </c>
      <c r="E28" s="7" t="str">
        <f t="shared" si="2"/>
        <v>Dec</v>
      </c>
      <c r="F28" s="5" t="s">
        <v>25</v>
      </c>
      <c r="G28" s="5" t="s">
        <v>26</v>
      </c>
      <c r="H28" s="5" t="s">
        <v>41</v>
      </c>
      <c r="I28" s="5" t="s">
        <v>20</v>
      </c>
      <c r="J28" s="5" t="s">
        <v>47</v>
      </c>
      <c r="K28" s="5" t="s">
        <v>48</v>
      </c>
      <c r="L28" s="5">
        <v>15</v>
      </c>
      <c r="M28" s="5">
        <v>35</v>
      </c>
      <c r="N28" s="8">
        <v>0.1</v>
      </c>
      <c r="O28" s="5">
        <v>17</v>
      </c>
      <c r="P28" s="5">
        <v>472.5</v>
      </c>
      <c r="Q28" s="5">
        <v>255</v>
      </c>
      <c r="R28" s="5">
        <v>217.5</v>
      </c>
      <c r="S28" s="1">
        <v>0.46</v>
      </c>
    </row>
    <row r="29" spans="1:19" x14ac:dyDescent="0.3">
      <c r="A29" s="5">
        <v>3419</v>
      </c>
      <c r="B29" s="6">
        <v>46054</v>
      </c>
      <c r="C29" s="5">
        <f t="shared" si="0"/>
        <v>2026</v>
      </c>
      <c r="D29" s="5">
        <f t="shared" si="1"/>
        <v>2</v>
      </c>
      <c r="E29" s="7" t="str">
        <f t="shared" si="2"/>
        <v>Feb</v>
      </c>
      <c r="F29" s="5" t="s">
        <v>27</v>
      </c>
      <c r="G29" s="5" t="s">
        <v>28</v>
      </c>
      <c r="H29" s="5" t="s">
        <v>17</v>
      </c>
      <c r="I29" s="5" t="s">
        <v>18</v>
      </c>
      <c r="J29" s="5" t="s">
        <v>19</v>
      </c>
      <c r="K29" s="5" t="s">
        <v>29</v>
      </c>
      <c r="L29" s="5">
        <v>6</v>
      </c>
      <c r="M29" s="5">
        <v>80</v>
      </c>
      <c r="N29" s="8">
        <v>0.15</v>
      </c>
      <c r="O29" s="5">
        <v>42</v>
      </c>
      <c r="P29" s="5">
        <v>408</v>
      </c>
      <c r="Q29" s="5">
        <v>252</v>
      </c>
      <c r="R29" s="5">
        <v>156</v>
      </c>
      <c r="S29" s="1">
        <v>0.38</v>
      </c>
    </row>
    <row r="30" spans="1:19" x14ac:dyDescent="0.3">
      <c r="A30" s="5">
        <v>3420</v>
      </c>
      <c r="B30" s="6">
        <v>46055</v>
      </c>
      <c r="C30" s="5">
        <f t="shared" si="0"/>
        <v>2026</v>
      </c>
      <c r="D30" s="5">
        <f t="shared" si="1"/>
        <v>2</v>
      </c>
      <c r="E30" s="7" t="str">
        <f t="shared" si="2"/>
        <v>Feb</v>
      </c>
      <c r="F30" s="5" t="s">
        <v>30</v>
      </c>
      <c r="G30" s="5" t="s">
        <v>31</v>
      </c>
      <c r="H30" s="5" t="s">
        <v>37</v>
      </c>
      <c r="I30" s="5" t="s">
        <v>38</v>
      </c>
      <c r="J30" s="5" t="s">
        <v>47</v>
      </c>
      <c r="K30" s="5" t="s">
        <v>49</v>
      </c>
      <c r="L30" s="5">
        <v>9</v>
      </c>
      <c r="M30" s="5">
        <v>45</v>
      </c>
      <c r="N30" s="8">
        <v>0</v>
      </c>
      <c r="O30" s="5">
        <v>22</v>
      </c>
      <c r="P30" s="5">
        <v>405</v>
      </c>
      <c r="Q30" s="5">
        <v>198</v>
      </c>
      <c r="R30" s="5">
        <v>207</v>
      </c>
      <c r="S30" s="1">
        <v>0.51</v>
      </c>
    </row>
    <row r="31" spans="1:19" x14ac:dyDescent="0.3">
      <c r="A31" s="5">
        <v>3421</v>
      </c>
      <c r="B31" s="6">
        <v>46056</v>
      </c>
      <c r="C31" s="5">
        <f t="shared" si="0"/>
        <v>2026</v>
      </c>
      <c r="D31" s="5">
        <f t="shared" si="1"/>
        <v>2</v>
      </c>
      <c r="E31" s="7" t="str">
        <f t="shared" si="2"/>
        <v>Feb</v>
      </c>
      <c r="F31" s="5" t="s">
        <v>21</v>
      </c>
      <c r="G31" s="5" t="s">
        <v>50</v>
      </c>
      <c r="H31" s="5" t="s">
        <v>41</v>
      </c>
      <c r="I31" s="5" t="s">
        <v>20</v>
      </c>
      <c r="J31" s="5" t="s">
        <v>39</v>
      </c>
      <c r="K31" s="5" t="s">
        <v>51</v>
      </c>
      <c r="L31" s="5">
        <v>11</v>
      </c>
      <c r="M31" s="5">
        <v>220</v>
      </c>
      <c r="N31" s="8">
        <v>0.05</v>
      </c>
      <c r="O31" s="5">
        <v>140</v>
      </c>
      <c r="P31" s="5">
        <v>2299</v>
      </c>
      <c r="Q31" s="5">
        <v>1540</v>
      </c>
      <c r="R31" s="5">
        <v>759</v>
      </c>
      <c r="S31" s="1">
        <v>0.33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 order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meghanavipari@gmail.com</cp:lastModifiedBy>
  <dcterms:created xsi:type="dcterms:W3CDTF">2026-10-12T12:29:00Z</dcterms:created>
  <dcterms:modified xsi:type="dcterms:W3CDTF">2026-10-24T14:00:06Z</dcterms:modified>
</cp:coreProperties>
</file>